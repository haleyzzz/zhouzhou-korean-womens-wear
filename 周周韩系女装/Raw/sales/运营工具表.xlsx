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任务清单" sheetId="1" state="visible" r:id="rId1"/>
    <sheet xmlns:r="http://schemas.openxmlformats.org/officeDocument/2006/relationships" name="小红书数据追踪" sheetId="2" state="visible" r:id="rId2"/>
    <sheet xmlns:r="http://schemas.openxmlformats.org/officeDocument/2006/relationships" name="抖音数据追踪" sheetId="3" state="visible" r:id="rId3"/>
    <sheet xmlns:r="http://schemas.openxmlformats.org/officeDocument/2006/relationships" name="抖店数据追踪" sheetId="4" state="visible" r:id="rId4"/>
    <sheet xmlns:r="http://schemas.openxmlformats.org/officeDocument/2006/relationships" name="每周数据复盘" sheetId="5" state="visible" r:id="rId5"/>
    <sheet xmlns:r="http://schemas.openxmlformats.org/officeDocument/2006/relationships" name="客户管理" sheetId="6" state="visible" r:id="rId6"/>
    <sheet xmlns:r="http://schemas.openxmlformats.org/officeDocument/2006/relationships" name="同行研究记录" sheetId="7" state="visible" r:id="rId7"/>
    <sheet xmlns:r="http://schemas.openxmlformats.org/officeDocument/2006/relationships" name="一周发布计划" sheetId="8" state="visible" r:id="rId8"/>
    <sheet xmlns:r="http://schemas.openxmlformats.org/officeDocument/2006/relationships" name="直播数据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0"/>
    </font>
    <font>
      <name val="Microsoft YaHei"/>
      <color rgb="002D2D2D"/>
      <sz val="10"/>
    </font>
    <font>
      <name val="Microsoft YaHei"/>
      <b val="1"/>
      <color rgb="00E8725A"/>
      <sz val="11"/>
    </font>
    <font>
      <name val="Microsoft YaHei"/>
      <b val="1"/>
      <color rgb="002D2D2D"/>
      <sz val="10"/>
    </font>
    <font>
      <name val="Microsoft YaHei"/>
      <color rgb="008B7D75"/>
      <sz val="9"/>
    </font>
  </fonts>
  <fills count="11">
    <fill>
      <patternFill/>
    </fill>
    <fill>
      <patternFill patternType="gray125"/>
    </fill>
    <fill>
      <patternFill patternType="solid">
        <fgColor rgb="003B2F2F"/>
      </patternFill>
    </fill>
    <fill>
      <patternFill patternType="solid">
        <fgColor rgb="00E8725A"/>
      </patternFill>
    </fill>
    <fill>
      <patternFill patternType="solid">
        <fgColor rgb="00FFFFFF"/>
      </patternFill>
    </fill>
    <fill>
      <patternFill patternType="solid">
        <fgColor rgb="00F9F5F0"/>
      </patternFill>
    </fill>
    <fill>
      <patternFill patternType="solid">
        <fgColor rgb="00F5E6D3"/>
      </patternFill>
    </fill>
    <fill>
      <patternFill patternType="solid">
        <fgColor rgb="00FAF0E6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D0C4B8"/>
      </left>
      <right style="thin">
        <color rgb="00D0C4B8"/>
      </right>
      <top style="thin">
        <color rgb="00D0C4B8"/>
      </top>
      <bottom style="thin">
        <color rgb="00D0C4B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3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0" fillId="6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6" borderId="0" pivotButton="0" quotePrefix="0" xfId="0"/>
    <xf numFmtId="0" fontId="6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10" customWidth="1" min="4" max="4"/>
    <col width="14" customWidth="1" min="5" max="5"/>
    <col width="20" customWidth="1" min="6" max="6"/>
  </cols>
  <sheetData>
    <row r="1" ht="36" customHeight="1">
      <c r="A1" s="1" t="inlineStr">
        <is>
          <t>每日任务清单（每天约1.5小时）</t>
        </is>
      </c>
      <c r="B1" s="2" t="n"/>
      <c r="C1" s="2" t="n"/>
      <c r="D1" s="2" t="n"/>
      <c r="E1" s="2" t="n"/>
      <c r="F1" s="2" t="n"/>
    </row>
    <row r="2">
      <c r="A2" s="3" t="inlineStr">
        <is>
          <t>序号</t>
        </is>
      </c>
      <c r="B2" s="3" t="inlineStr">
        <is>
          <t>时间段</t>
        </is>
      </c>
      <c r="C2" s="3" t="inlineStr">
        <is>
          <t>任务内容</t>
        </is>
      </c>
      <c r="D2" s="3" t="inlineStr">
        <is>
          <t>用时</t>
        </is>
      </c>
      <c r="E2" s="3" t="inlineStr">
        <is>
          <t>完成状态</t>
        </is>
      </c>
      <c r="F2" s="3" t="inlineStr">
        <is>
          <t>备注</t>
        </is>
      </c>
    </row>
    <row r="3">
      <c r="A3" s="4" t="inlineStr">
        <is>
          <t>1</t>
        </is>
      </c>
      <c r="B3" s="4" t="inlineStr">
        <is>
          <t>8:00-8:20</t>
        </is>
      </c>
      <c r="C3" s="4" t="inlineStr">
        <is>
          <t>用豆包AI生成3篇小红书笔记+5条口播稿</t>
        </is>
      </c>
      <c r="D3" s="4" t="inlineStr">
        <is>
          <t>20分钟</t>
        </is>
      </c>
      <c r="E3" s="4" t="inlineStr"/>
      <c r="F3" s="4" t="inlineStr"/>
    </row>
    <row r="4">
      <c r="A4" s="5" t="inlineStr">
        <is>
          <t>2</t>
        </is>
      </c>
      <c r="B4" s="5" t="inlineStr">
        <is>
          <t>9:00</t>
        </is>
      </c>
      <c r="C4" s="5" t="inlineStr">
        <is>
          <t>发第一条朋友圈（新品展示）</t>
        </is>
      </c>
      <c r="D4" s="5" t="inlineStr">
        <is>
          <t>3分钟</t>
        </is>
      </c>
      <c r="E4" s="5" t="inlineStr"/>
      <c r="F4" s="5" t="inlineStr"/>
    </row>
    <row r="5">
      <c r="A5" s="4" t="inlineStr">
        <is>
          <t>3</t>
        </is>
      </c>
      <c r="B5" s="4" t="inlineStr">
        <is>
          <t>9:30-10:00</t>
        </is>
      </c>
      <c r="C5" s="4" t="inlineStr">
        <is>
          <t>用剪映做5条短视频+发布第1条</t>
        </is>
      </c>
      <c r="D5" s="4" t="inlineStr">
        <is>
          <t>30分钟</t>
        </is>
      </c>
      <c r="E5" s="4" t="inlineStr"/>
      <c r="F5" s="4" t="inlineStr"/>
    </row>
    <row r="6">
      <c r="A6" s="5" t="inlineStr">
        <is>
          <t>4</t>
        </is>
      </c>
      <c r="B6" s="5" t="inlineStr">
        <is>
          <t>10:00</t>
        </is>
      </c>
      <c r="C6" s="5" t="inlineStr">
        <is>
          <t>发布小红书笔记第1篇</t>
        </is>
      </c>
      <c r="D6" s="5" t="inlineStr">
        <is>
          <t>3分钟</t>
        </is>
      </c>
      <c r="E6" s="5" t="inlineStr"/>
      <c r="F6" s="5" t="inlineStr"/>
    </row>
    <row r="7">
      <c r="A7" s="4" t="inlineStr">
        <is>
          <t>5</t>
        </is>
      </c>
      <c r="B7" s="4" t="inlineStr">
        <is>
          <t>12:00</t>
        </is>
      </c>
      <c r="C7" s="4" t="inlineStr">
        <is>
          <t>发第二条朋友圈（客户好评）+发布第2条视频</t>
        </is>
      </c>
      <c r="D7" s="4" t="inlineStr">
        <is>
          <t>5分钟</t>
        </is>
      </c>
      <c r="E7" s="4" t="inlineStr"/>
      <c r="F7" s="4" t="inlineStr"/>
    </row>
    <row r="8">
      <c r="A8" s="5" t="inlineStr">
        <is>
          <t>6</t>
        </is>
      </c>
      <c r="B8" s="5" t="inlineStr">
        <is>
          <t>14:00</t>
        </is>
      </c>
      <c r="C8" s="5" t="inlineStr">
        <is>
          <t>发布小红书笔记第2篇</t>
        </is>
      </c>
      <c r="D8" s="5" t="inlineStr">
        <is>
          <t>3分钟</t>
        </is>
      </c>
      <c r="E8" s="5" t="inlineStr"/>
      <c r="F8" s="5" t="inlineStr"/>
    </row>
    <row r="9">
      <c r="A9" s="4" t="inlineStr">
        <is>
          <t>7</t>
        </is>
      </c>
      <c r="B9" s="4" t="inlineStr">
        <is>
          <t>15:00</t>
        </is>
      </c>
      <c r="C9" s="4" t="inlineStr">
        <is>
          <t>发第三条朋友圈（工厂日常）</t>
        </is>
      </c>
      <c r="D9" s="4" t="inlineStr">
        <is>
          <t>3分钟</t>
        </is>
      </c>
      <c r="E9" s="4" t="inlineStr"/>
      <c r="F9" s="4" t="inlineStr"/>
    </row>
    <row r="10">
      <c r="A10" s="5" t="inlineStr">
        <is>
          <t>8</t>
        </is>
      </c>
      <c r="B10" s="5" t="inlineStr">
        <is>
          <t>19:00</t>
        </is>
      </c>
      <c r="C10" s="5" t="inlineStr">
        <is>
          <t>发布第3条视频</t>
        </is>
      </c>
      <c r="D10" s="5" t="inlineStr">
        <is>
          <t>3分钟</t>
        </is>
      </c>
      <c r="E10" s="5" t="inlineStr"/>
      <c r="F10" s="5" t="inlineStr"/>
    </row>
    <row r="11">
      <c r="A11" s="4" t="inlineStr">
        <is>
          <t>9</t>
        </is>
      </c>
      <c r="B11" s="4" t="inlineStr">
        <is>
          <t>19:55</t>
        </is>
      </c>
      <c r="C11" s="4" t="inlineStr">
        <is>
          <t>开启数字人直播</t>
        </is>
      </c>
      <c r="D11" s="4" t="inlineStr">
        <is>
          <t>5分钟</t>
        </is>
      </c>
      <c r="E11" s="4" t="inlineStr"/>
      <c r="F11" s="4" t="inlineStr"/>
    </row>
    <row r="12">
      <c r="A12" s="5" t="inlineStr">
        <is>
          <t>10</t>
        </is>
      </c>
      <c r="B12" s="5" t="inlineStr">
        <is>
          <t>20:00</t>
        </is>
      </c>
      <c r="C12" s="5" t="inlineStr">
        <is>
          <t>发第四条朋友圈（穿搭灵感）+发布小红书第3篇</t>
        </is>
      </c>
      <c r="D12" s="5" t="inlineStr">
        <is>
          <t>5分钟</t>
        </is>
      </c>
      <c r="E12" s="5" t="inlineStr"/>
      <c r="F12" s="5" t="inlineStr"/>
    </row>
    <row r="13">
      <c r="A13" s="4" t="inlineStr">
        <is>
          <t>11</t>
        </is>
      </c>
      <c r="B13" s="4" t="inlineStr">
        <is>
          <t>21:00</t>
        </is>
      </c>
      <c r="C13" s="4" t="inlineStr">
        <is>
          <t>发布第4条视频</t>
        </is>
      </c>
      <c r="D13" s="4" t="inlineStr">
        <is>
          <t>3分钟</t>
        </is>
      </c>
      <c r="E13" s="4" t="inlineStr"/>
      <c r="F13" s="4" t="inlineStr"/>
    </row>
    <row r="14">
      <c r="A14" s="5" t="inlineStr">
        <is>
          <t>12</t>
        </is>
      </c>
      <c r="B14" s="5" t="inlineStr">
        <is>
          <t>22:00</t>
        </is>
      </c>
      <c r="C14" s="5" t="inlineStr">
        <is>
          <t>发第五条朋友圈（限时优惠）+发布第5条视频</t>
        </is>
      </c>
      <c r="D14" s="5" t="inlineStr">
        <is>
          <t>5分钟</t>
        </is>
      </c>
      <c r="E14" s="5" t="inlineStr"/>
      <c r="F14" s="5" t="inlineStr"/>
    </row>
    <row r="15">
      <c r="A15" s="4" t="inlineStr">
        <is>
          <t>13</t>
        </is>
      </c>
      <c r="B15" s="4" t="inlineStr">
        <is>
          <t>22:30</t>
        </is>
      </c>
      <c r="C15" s="4" t="inlineStr">
        <is>
          <t>回复评论和私信</t>
        </is>
      </c>
      <c r="D15" s="4" t="inlineStr">
        <is>
          <t>10分钟</t>
        </is>
      </c>
      <c r="E15" s="4" t="inlineStr"/>
      <c r="F15" s="4" t="inlineStr"/>
    </row>
    <row r="16">
      <c r="A16" s="5" t="inlineStr">
        <is>
          <t>14</t>
        </is>
      </c>
      <c r="B16" s="5" t="inlineStr">
        <is>
          <t>24:00</t>
        </is>
      </c>
      <c r="C16" s="5" t="inlineStr">
        <is>
          <t>关闭数字人直播</t>
        </is>
      </c>
      <c r="D16" s="5" t="inlineStr">
        <is>
          <t>2分钟</t>
        </is>
      </c>
      <c r="E16" s="5" t="inlineStr"/>
      <c r="F16" s="5" t="inlineStr"/>
    </row>
    <row r="17">
      <c r="A17" s="6" t="inlineStr">
        <is>
          <t>每周五额外任务（约30分钟）</t>
        </is>
      </c>
      <c r="B17" s="7" t="n"/>
      <c r="C17" s="7" t="n"/>
      <c r="D17" s="7" t="n"/>
      <c r="E17" s="7" t="n"/>
      <c r="F17" s="7" t="n"/>
    </row>
    <row r="18">
      <c r="A18" s="8" t="inlineStr">
        <is>
          <t>15</t>
        </is>
      </c>
      <c r="B18" s="8" t="inlineStr">
        <is>
          <t>周五下午</t>
        </is>
      </c>
      <c r="C18" s="8" t="inlineStr">
        <is>
          <t>同行研究：小红书+抖音+1688+淘宝（30分钟）</t>
        </is>
      </c>
      <c r="D18" s="8" t="inlineStr">
        <is>
          <t>30分钟</t>
        </is>
      </c>
      <c r="E18" s="8" t="inlineStr"/>
      <c r="F18" s="8" t="inlineStr">
        <is>
          <t>记录灵感</t>
        </is>
      </c>
    </row>
    <row r="19">
      <c r="A19" s="8" t="inlineStr">
        <is>
          <t>16</t>
        </is>
      </c>
      <c r="B19" s="8" t="inlineStr">
        <is>
          <t>周五下午</t>
        </is>
      </c>
      <c r="C19" s="8" t="inlineStr">
        <is>
          <t>数据复盘：本周各平台数据分析+写总结</t>
        </is>
      </c>
      <c r="D19" s="8" t="inlineStr">
        <is>
          <t>20分钟</t>
        </is>
      </c>
      <c r="E19" s="8" t="inlineStr"/>
      <c r="F19" s="8" t="inlineStr"/>
    </row>
    <row r="20">
      <c r="A20" s="8" t="inlineStr">
        <is>
          <t>17</t>
        </is>
      </c>
      <c r="B20" s="8" t="inlineStr">
        <is>
          <t>周五晚8点</t>
        </is>
      </c>
      <c r="C20" s="8" t="inlineStr">
        <is>
          <t>微信群秒杀活动</t>
        </is>
      </c>
      <c r="D20" s="8" t="inlineStr">
        <is>
          <t>30分钟</t>
        </is>
      </c>
      <c r="E20" s="8" t="inlineStr"/>
      <c r="F20" s="8" t="inlineStr"/>
    </row>
    <row r="21">
      <c r="A21" s="6" t="inlineStr">
        <is>
          <t>每月任务</t>
        </is>
      </c>
      <c r="B21" s="7" t="n"/>
      <c r="C21" s="7" t="n"/>
      <c r="D21" s="7" t="n"/>
      <c r="E21" s="7" t="n"/>
      <c r="F21" s="7" t="n"/>
    </row>
    <row r="22">
      <c r="A22" s="8" t="inlineStr">
        <is>
          <t>18</t>
        </is>
      </c>
      <c r="B22" s="8" t="inlineStr">
        <is>
          <t>月初</t>
        </is>
      </c>
      <c r="C22" s="8" t="inlineStr">
        <is>
          <t>更新数字人直播话术（加新款去断货款）</t>
        </is>
      </c>
      <c r="D22" s="8" t="inlineStr"/>
      <c r="E22" s="8" t="inlineStr"/>
      <c r="F22" s="8" t="inlineStr"/>
    </row>
    <row r="23">
      <c r="A23" s="8" t="inlineStr">
        <is>
          <t>19</t>
        </is>
      </c>
      <c r="B23" s="8" t="inlineStr">
        <is>
          <t>月初</t>
        </is>
      </c>
      <c r="C23" s="8" t="inlineStr">
        <is>
          <t>检查客户分层档案，调整维护策略</t>
        </is>
      </c>
      <c r="D23" s="8" t="inlineStr"/>
      <c r="E23" s="8" t="inlineStr"/>
      <c r="F23" s="8" t="inlineStr"/>
    </row>
    <row r="24">
      <c r="A24" s="8" t="inlineStr">
        <is>
          <t>20</t>
        </is>
      </c>
      <c r="B24" s="8" t="inlineStr">
        <is>
          <t>月初</t>
        </is>
      </c>
      <c r="C24" s="8" t="inlineStr">
        <is>
          <t>清理手机存储空间+更新账号简介</t>
        </is>
      </c>
      <c r="D24" s="8" t="inlineStr"/>
      <c r="E24" s="8" t="inlineStr"/>
      <c r="F24" s="8" t="inlineStr"/>
    </row>
  </sheetData>
  <mergeCells count="3">
    <mergeCell ref="A21:F21"/>
    <mergeCell ref="A1:F1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0" customWidth="1" min="10" max="10"/>
  </cols>
  <sheetData>
    <row r="1" ht="36" customHeight="1">
      <c r="A1" s="1" t="inlineStr">
        <is>
          <t>小红书笔记数据追踪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日期</t>
        </is>
      </c>
      <c r="B2" s="3" t="inlineStr">
        <is>
          <t>笔记标题</t>
        </is>
      </c>
      <c r="C2" s="3" t="inlineStr">
        <is>
          <t>内容类型</t>
        </is>
      </c>
      <c r="D2" s="3" t="inlineStr">
        <is>
          <t>曝光量</t>
        </is>
      </c>
      <c r="E2" s="3" t="inlineStr">
        <is>
          <t>点赞</t>
        </is>
      </c>
      <c r="F2" s="3" t="inlineStr">
        <is>
          <t>收藏</t>
        </is>
      </c>
      <c r="G2" s="3" t="inlineStr">
        <is>
          <t>评论</t>
        </is>
      </c>
      <c r="H2" s="3" t="inlineStr">
        <is>
          <t>互动率</t>
        </is>
      </c>
      <c r="I2" s="3" t="inlineStr">
        <is>
          <t>数据评级</t>
        </is>
      </c>
      <c r="J2" s="3" t="inlineStr">
        <is>
          <t>改进方向</t>
        </is>
      </c>
    </row>
    <row r="3">
      <c r="A3" s="9" t="n"/>
      <c r="B3" s="9" t="n"/>
      <c r="C3" s="9" t="inlineStr">
        <is>
          <t>种草闺蜜</t>
        </is>
      </c>
      <c r="D3" s="9" t="n"/>
      <c r="E3" s="9" t="n"/>
      <c r="F3" s="9" t="n"/>
      <c r="G3" s="9" t="n"/>
      <c r="H3" s="10">
        <f>IF(D3=0,"",ROUND((E3+F3+G3)/D3*100,1)&amp;"%")</f>
        <v/>
      </c>
      <c r="I3" s="10">
        <f>IF(D3=0,"",IF(D3&gt;1000,"优秀",IF(D3&gt;500,"良好",IF(D3&gt;100,"一般","待观察"))))</f>
        <v/>
      </c>
      <c r="J3" s="9" t="n"/>
    </row>
    <row r="4">
      <c r="A4" s="5" t="n"/>
      <c r="B4" s="5" t="n"/>
      <c r="C4" s="5" t="inlineStr">
        <is>
          <t>价格冲击</t>
        </is>
      </c>
      <c r="D4" s="5" t="n"/>
      <c r="E4" s="5" t="n"/>
      <c r="F4" s="5" t="n"/>
      <c r="G4" s="5" t="n"/>
      <c r="H4" s="11">
        <f>IF(D4=0,"",ROUND((E4+F4+G4)/D4*100,1)&amp;"%")</f>
        <v/>
      </c>
      <c r="I4" s="11">
        <f>IF(D4=0,"",IF(D4&gt;1000,"优秀",IF(D4&gt;500,"良好",IF(D4&gt;100,"一般","待观察"))))</f>
        <v/>
      </c>
      <c r="J4" s="5" t="n"/>
    </row>
    <row r="5">
      <c r="A5" s="9" t="n"/>
      <c r="B5" s="9" t="n"/>
      <c r="C5" s="9" t="inlineStr">
        <is>
          <t>穿搭教程</t>
        </is>
      </c>
      <c r="D5" s="9" t="n"/>
      <c r="E5" s="9" t="n"/>
      <c r="F5" s="9" t="n"/>
      <c r="G5" s="9" t="n"/>
      <c r="H5" s="10">
        <f>IF(D5=0,"",ROUND((E5+F5+G5)/D5*100,1)&amp;"%")</f>
        <v/>
      </c>
      <c r="I5" s="10">
        <f>IF(D5=0,"",IF(D5&gt;1000,"优秀",IF(D5&gt;500,"良好",IF(D5&gt;100,"一般","待观察"))))</f>
        <v/>
      </c>
      <c r="J5" s="9" t="n"/>
    </row>
    <row r="6">
      <c r="A6" s="5" t="n"/>
      <c r="B6" s="5" t="n"/>
      <c r="C6" s="5" t="inlineStr">
        <is>
          <t>工厂故事</t>
        </is>
      </c>
      <c r="D6" s="5" t="n"/>
      <c r="E6" s="5" t="n"/>
      <c r="F6" s="5" t="n"/>
      <c r="G6" s="5" t="n"/>
      <c r="H6" s="11">
        <f>IF(D6=0,"",ROUND((E6+F6+G6)/D6*100,1)&amp;"%")</f>
        <v/>
      </c>
      <c r="I6" s="11">
        <f>IF(D6=0,"",IF(D6&gt;1000,"优秀",IF(D6&gt;500,"良好",IF(D6&gt;100,"一般","待观察"))))</f>
        <v/>
      </c>
      <c r="J6" s="5" t="n"/>
    </row>
    <row r="7">
      <c r="A7" s="9" t="n"/>
      <c r="B7" s="9" t="n"/>
      <c r="C7" s="9" t="inlineStr">
        <is>
          <t>好评反馈</t>
        </is>
      </c>
      <c r="D7" s="9" t="n"/>
      <c r="E7" s="9" t="n"/>
      <c r="F7" s="9" t="n"/>
      <c r="G7" s="9" t="n"/>
      <c r="H7" s="10">
        <f>IF(D7=0,"",ROUND((E7+F7+G7)/D7*100,1)&amp;"%")</f>
        <v/>
      </c>
      <c r="I7" s="10">
        <f>IF(D7=0,"",IF(D7&gt;1000,"优秀",IF(D7&gt;500,"良好",IF(D7&gt;100,"一般","待观察"))))</f>
        <v/>
      </c>
      <c r="J7" s="9" t="n"/>
    </row>
    <row r="8">
      <c r="A8" s="5" t="n"/>
      <c r="B8" s="5" t="n"/>
      <c r="C8" s="5" t="inlineStr">
        <is>
          <t>节日营销</t>
        </is>
      </c>
      <c r="D8" s="5" t="n"/>
      <c r="E8" s="5" t="n"/>
      <c r="F8" s="5" t="n"/>
      <c r="G8" s="5" t="n"/>
      <c r="H8" s="11">
        <f>IF(D8=0,"",ROUND((E8+F8+G8)/D8*100,1)&amp;"%")</f>
        <v/>
      </c>
      <c r="I8" s="11">
        <f>IF(D8=0,"",IF(D8&gt;1000,"优秀",IF(D8&gt;500,"良好",IF(D8&gt;100,"一般","待观察"))))</f>
        <v/>
      </c>
      <c r="J8" s="5" t="n"/>
    </row>
    <row r="9">
      <c r="A9" s="9" t="n"/>
      <c r="B9" s="9" t="n"/>
      <c r="C9" s="9" t="inlineStr">
        <is>
          <t>种草闺蜜</t>
        </is>
      </c>
      <c r="D9" s="9" t="n"/>
      <c r="E9" s="9" t="n"/>
      <c r="F9" s="9" t="n"/>
      <c r="G9" s="9" t="n"/>
      <c r="H9" s="10">
        <f>IF(D9=0,"",ROUND((E9+F9+G9)/D9*100,1)&amp;"%")</f>
        <v/>
      </c>
      <c r="I9" s="10">
        <f>IF(D9=0,"",IF(D9&gt;1000,"优秀",IF(D9&gt;500,"良好",IF(D9&gt;100,"一般","待观察"))))</f>
        <v/>
      </c>
      <c r="J9" s="9" t="n"/>
    </row>
    <row r="10">
      <c r="A10" s="5" t="n"/>
      <c r="B10" s="5" t="n"/>
      <c r="C10" s="5" t="inlineStr">
        <is>
          <t>价格冲击</t>
        </is>
      </c>
      <c r="D10" s="5" t="n"/>
      <c r="E10" s="5" t="n"/>
      <c r="F10" s="5" t="n"/>
      <c r="G10" s="5" t="n"/>
      <c r="H10" s="11">
        <f>IF(D10=0,"",ROUND((E10+F10+G10)/D10*100,1)&amp;"%")</f>
        <v/>
      </c>
      <c r="I10" s="11">
        <f>IF(D10=0,"",IF(D10&gt;1000,"优秀",IF(D10&gt;500,"良好",IF(D10&gt;100,"一般","待观察"))))</f>
        <v/>
      </c>
      <c r="J10" s="5" t="n"/>
    </row>
    <row r="11">
      <c r="A11" s="9" t="n"/>
      <c r="B11" s="9" t="n"/>
      <c r="C11" s="9" t="inlineStr">
        <is>
          <t>穿搭教程</t>
        </is>
      </c>
      <c r="D11" s="9" t="n"/>
      <c r="E11" s="9" t="n"/>
      <c r="F11" s="9" t="n"/>
      <c r="G11" s="9" t="n"/>
      <c r="H11" s="10">
        <f>IF(D11=0,"",ROUND((E11+F11+G11)/D11*100,1)&amp;"%")</f>
        <v/>
      </c>
      <c r="I11" s="10">
        <f>IF(D11=0,"",IF(D11&gt;1000,"优秀",IF(D11&gt;500,"良好",IF(D11&gt;100,"一般","待观察"))))</f>
        <v/>
      </c>
      <c r="J11" s="9" t="n"/>
    </row>
    <row r="12">
      <c r="A12" s="5" t="n"/>
      <c r="B12" s="5" t="n"/>
      <c r="C12" s="5" t="inlineStr">
        <is>
          <t>工厂故事</t>
        </is>
      </c>
      <c r="D12" s="5" t="n"/>
      <c r="E12" s="5" t="n"/>
      <c r="F12" s="5" t="n"/>
      <c r="G12" s="5" t="n"/>
      <c r="H12" s="11">
        <f>IF(D12=0,"",ROUND((E12+F12+G12)/D12*100,1)&amp;"%")</f>
        <v/>
      </c>
      <c r="I12" s="11">
        <f>IF(D12=0,"",IF(D12&gt;1000,"优秀",IF(D12&gt;500,"良好",IF(D12&gt;100,"一般","待观察"))))</f>
        <v/>
      </c>
      <c r="J12" s="5" t="n"/>
    </row>
    <row r="13">
      <c r="A13" s="9" t="n"/>
      <c r="B13" s="9" t="n"/>
      <c r="C13" s="9" t="inlineStr">
        <is>
          <t>好评反馈</t>
        </is>
      </c>
      <c r="D13" s="9" t="n"/>
      <c r="E13" s="9" t="n"/>
      <c r="F13" s="9" t="n"/>
      <c r="G13" s="9" t="n"/>
      <c r="H13" s="10">
        <f>IF(D13=0,"",ROUND((E13+F13+G13)/D13*100,1)&amp;"%")</f>
        <v/>
      </c>
      <c r="I13" s="10">
        <f>IF(D13=0,"",IF(D13&gt;1000,"优秀",IF(D13&gt;500,"良好",IF(D13&gt;100,"一般","待观察"))))</f>
        <v/>
      </c>
      <c r="J13" s="9" t="n"/>
    </row>
    <row r="14">
      <c r="A14" s="5" t="n"/>
      <c r="B14" s="5" t="n"/>
      <c r="C14" s="5" t="inlineStr">
        <is>
          <t>节日营销</t>
        </is>
      </c>
      <c r="D14" s="5" t="n"/>
      <c r="E14" s="5" t="n"/>
      <c r="F14" s="5" t="n"/>
      <c r="G14" s="5" t="n"/>
      <c r="H14" s="11">
        <f>IF(D14=0,"",ROUND((E14+F14+G14)/D14*100,1)&amp;"%")</f>
        <v/>
      </c>
      <c r="I14" s="11">
        <f>IF(D14=0,"",IF(D14&gt;1000,"优秀",IF(D14&gt;500,"良好",IF(D14&gt;100,"一般","待观察"))))</f>
        <v/>
      </c>
      <c r="J14" s="5" t="n"/>
    </row>
    <row r="15">
      <c r="A15" s="9" t="n"/>
      <c r="B15" s="9" t="n"/>
      <c r="C15" s="9" t="inlineStr">
        <is>
          <t>种草闺蜜</t>
        </is>
      </c>
      <c r="D15" s="9" t="n"/>
      <c r="E15" s="9" t="n"/>
      <c r="F15" s="9" t="n"/>
      <c r="G15" s="9" t="n"/>
      <c r="H15" s="10">
        <f>IF(D15=0,"",ROUND((E15+F15+G15)/D15*100,1)&amp;"%")</f>
        <v/>
      </c>
      <c r="I15" s="10">
        <f>IF(D15=0,"",IF(D15&gt;1000,"优秀",IF(D15&gt;500,"良好",IF(D15&gt;100,"一般","待观察"))))</f>
        <v/>
      </c>
      <c r="J15" s="9" t="n"/>
    </row>
    <row r="16">
      <c r="A16" s="5" t="n"/>
      <c r="B16" s="5" t="n"/>
      <c r="C16" s="5" t="inlineStr">
        <is>
          <t>价格冲击</t>
        </is>
      </c>
      <c r="D16" s="5" t="n"/>
      <c r="E16" s="5" t="n"/>
      <c r="F16" s="5" t="n"/>
      <c r="G16" s="5" t="n"/>
      <c r="H16" s="11">
        <f>IF(D16=0,"",ROUND((E16+F16+G16)/D16*100,1)&amp;"%")</f>
        <v/>
      </c>
      <c r="I16" s="11">
        <f>IF(D16=0,"",IF(D16&gt;1000,"优秀",IF(D16&gt;500,"良好",IF(D16&gt;100,"一般","待观察"))))</f>
        <v/>
      </c>
      <c r="J16" s="5" t="n"/>
    </row>
    <row r="17">
      <c r="A17" s="9" t="n"/>
      <c r="B17" s="9" t="n"/>
      <c r="C17" s="9" t="inlineStr">
        <is>
          <t>穿搭教程</t>
        </is>
      </c>
      <c r="D17" s="9" t="n"/>
      <c r="E17" s="9" t="n"/>
      <c r="F17" s="9" t="n"/>
      <c r="G17" s="9" t="n"/>
      <c r="H17" s="10">
        <f>IF(D17=0,"",ROUND((E17+F17+G17)/D17*100,1)&amp;"%")</f>
        <v/>
      </c>
      <c r="I17" s="10">
        <f>IF(D17=0,"",IF(D17&gt;1000,"优秀",IF(D17&gt;500,"良好",IF(D17&gt;100,"一般","待观察"))))</f>
        <v/>
      </c>
      <c r="J17" s="9" t="n"/>
    </row>
    <row r="18">
      <c r="A18" s="5" t="n"/>
      <c r="B18" s="5" t="n"/>
      <c r="C18" s="5" t="inlineStr">
        <is>
          <t>工厂故事</t>
        </is>
      </c>
      <c r="D18" s="5" t="n"/>
      <c r="E18" s="5" t="n"/>
      <c r="F18" s="5" t="n"/>
      <c r="G18" s="5" t="n"/>
      <c r="H18" s="11">
        <f>IF(D18=0,"",ROUND((E18+F18+G18)/D18*100,1)&amp;"%")</f>
        <v/>
      </c>
      <c r="I18" s="11">
        <f>IF(D18=0,"",IF(D18&gt;1000,"优秀",IF(D18&gt;500,"良好",IF(D18&gt;100,"一般","待观察"))))</f>
        <v/>
      </c>
      <c r="J18" s="5" t="n"/>
    </row>
    <row r="19">
      <c r="A19" s="9" t="n"/>
      <c r="B19" s="9" t="n"/>
      <c r="C19" s="9" t="inlineStr">
        <is>
          <t>好评反馈</t>
        </is>
      </c>
      <c r="D19" s="9" t="n"/>
      <c r="E19" s="9" t="n"/>
      <c r="F19" s="9" t="n"/>
      <c r="G19" s="9" t="n"/>
      <c r="H19" s="10">
        <f>IF(D19=0,"",ROUND((E19+F19+G19)/D19*100,1)&amp;"%")</f>
        <v/>
      </c>
      <c r="I19" s="10">
        <f>IF(D19=0,"",IF(D19&gt;1000,"优秀",IF(D19&gt;500,"良好",IF(D19&gt;100,"一般","待观察"))))</f>
        <v/>
      </c>
      <c r="J19" s="9" t="n"/>
    </row>
    <row r="20">
      <c r="A20" s="5" t="n"/>
      <c r="B20" s="5" t="n"/>
      <c r="C20" s="5" t="inlineStr">
        <is>
          <t>节日营销</t>
        </is>
      </c>
      <c r="D20" s="5" t="n"/>
      <c r="E20" s="5" t="n"/>
      <c r="F20" s="5" t="n"/>
      <c r="G20" s="5" t="n"/>
      <c r="H20" s="11">
        <f>IF(D20=0,"",ROUND((E20+F20+G20)/D20*100,1)&amp;"%")</f>
        <v/>
      </c>
      <c r="I20" s="11">
        <f>IF(D20=0,"",IF(D20&gt;1000,"优秀",IF(D20&gt;500,"良好",IF(D20&gt;100,"一般","待观察"))))</f>
        <v/>
      </c>
      <c r="J20" s="5" t="n"/>
    </row>
    <row r="21">
      <c r="A21" s="9" t="n"/>
      <c r="B21" s="9" t="n"/>
      <c r="C21" s="9" t="inlineStr">
        <is>
          <t>种草闺蜜</t>
        </is>
      </c>
      <c r="D21" s="9" t="n"/>
      <c r="E21" s="9" t="n"/>
      <c r="F21" s="9" t="n"/>
      <c r="G21" s="9" t="n"/>
      <c r="H21" s="10">
        <f>IF(D21=0,"",ROUND((E21+F21+G21)/D21*100,1)&amp;"%")</f>
        <v/>
      </c>
      <c r="I21" s="10">
        <f>IF(D21=0,"",IF(D21&gt;1000,"优秀",IF(D21&gt;500,"良好",IF(D21&gt;100,"一般","待观察"))))</f>
        <v/>
      </c>
      <c r="J21" s="9" t="n"/>
    </row>
    <row r="22">
      <c r="A22" s="5" t="n"/>
      <c r="B22" s="5" t="n"/>
      <c r="C22" s="5" t="inlineStr">
        <is>
          <t>价格冲击</t>
        </is>
      </c>
      <c r="D22" s="5" t="n"/>
      <c r="E22" s="5" t="n"/>
      <c r="F22" s="5" t="n"/>
      <c r="G22" s="5" t="n"/>
      <c r="H22" s="11">
        <f>IF(D22=0,"",ROUND((E22+F22+G22)/D22*100,1)&amp;"%")</f>
        <v/>
      </c>
      <c r="I22" s="11">
        <f>IF(D22=0,"",IF(D22&gt;1000,"优秀",IF(D22&gt;500,"良好",IF(D22&gt;100,"一般","待观察"))))</f>
        <v/>
      </c>
      <c r="J22" s="5" t="n"/>
    </row>
    <row r="23">
      <c r="A23" s="9" t="n"/>
      <c r="B23" s="9" t="n"/>
      <c r="C23" s="9" t="inlineStr">
        <is>
          <t>穿搭教程</t>
        </is>
      </c>
      <c r="D23" s="9" t="n"/>
      <c r="E23" s="9" t="n"/>
      <c r="F23" s="9" t="n"/>
      <c r="G23" s="9" t="n"/>
      <c r="H23" s="10">
        <f>IF(D23=0,"",ROUND((E23+F23+G23)/D23*100,1)&amp;"%")</f>
        <v/>
      </c>
      <c r="I23" s="10">
        <f>IF(D23=0,"",IF(D23&gt;1000,"优秀",IF(D23&gt;500,"良好",IF(D23&gt;100,"一般","待观察"))))</f>
        <v/>
      </c>
      <c r="J23" s="9" t="n"/>
    </row>
    <row r="24">
      <c r="A24" s="5" t="n"/>
      <c r="B24" s="5" t="n"/>
      <c r="C24" s="5" t="inlineStr">
        <is>
          <t>工厂故事</t>
        </is>
      </c>
      <c r="D24" s="5" t="n"/>
      <c r="E24" s="5" t="n"/>
      <c r="F24" s="5" t="n"/>
      <c r="G24" s="5" t="n"/>
      <c r="H24" s="11">
        <f>IF(D24=0,"",ROUND((E24+F24+G24)/D24*100,1)&amp;"%")</f>
        <v/>
      </c>
      <c r="I24" s="11">
        <f>IF(D24=0,"",IF(D24&gt;1000,"优秀",IF(D24&gt;500,"良好",IF(D24&gt;100,"一般","待观察"))))</f>
        <v/>
      </c>
      <c r="J24" s="5" t="n"/>
    </row>
    <row r="25">
      <c r="A25" s="9" t="n"/>
      <c r="B25" s="9" t="n"/>
      <c r="C25" s="9" t="inlineStr">
        <is>
          <t>好评反馈</t>
        </is>
      </c>
      <c r="D25" s="9" t="n"/>
      <c r="E25" s="9" t="n"/>
      <c r="F25" s="9" t="n"/>
      <c r="G25" s="9" t="n"/>
      <c r="H25" s="10">
        <f>IF(D25=0,"",ROUND((E25+F25+G25)/D25*100,1)&amp;"%")</f>
        <v/>
      </c>
      <c r="I25" s="10">
        <f>IF(D25=0,"",IF(D25&gt;1000,"优秀",IF(D25&gt;500,"良好",IF(D25&gt;100,"一般","待观察"))))</f>
        <v/>
      </c>
      <c r="J25" s="9" t="n"/>
    </row>
    <row r="26">
      <c r="A26" s="5" t="n"/>
      <c r="B26" s="5" t="n"/>
      <c r="C26" s="5" t="inlineStr">
        <is>
          <t>节日营销</t>
        </is>
      </c>
      <c r="D26" s="5" t="n"/>
      <c r="E26" s="5" t="n"/>
      <c r="F26" s="5" t="n"/>
      <c r="G26" s="5" t="n"/>
      <c r="H26" s="11">
        <f>IF(D26=0,"",ROUND((E26+F26+G26)/D26*100,1)&amp;"%")</f>
        <v/>
      </c>
      <c r="I26" s="11">
        <f>IF(D26=0,"",IF(D26&gt;1000,"优秀",IF(D26&gt;500,"良好",IF(D26&gt;100,"一般","待观察"))))</f>
        <v/>
      </c>
      <c r="J26" s="5" t="n"/>
    </row>
    <row r="27">
      <c r="A27" s="9" t="n"/>
      <c r="B27" s="9" t="n"/>
      <c r="C27" s="9" t="inlineStr">
        <is>
          <t>种草闺蜜</t>
        </is>
      </c>
      <c r="D27" s="9" t="n"/>
      <c r="E27" s="9" t="n"/>
      <c r="F27" s="9" t="n"/>
      <c r="G27" s="9" t="n"/>
      <c r="H27" s="10">
        <f>IF(D27=0,"",ROUND((E27+F27+G27)/D27*100,1)&amp;"%")</f>
        <v/>
      </c>
      <c r="I27" s="10">
        <f>IF(D27=0,"",IF(D27&gt;1000,"优秀",IF(D27&gt;500,"良好",IF(D27&gt;100,"一般","待观察"))))</f>
        <v/>
      </c>
      <c r="J27" s="9" t="n"/>
    </row>
    <row r="28">
      <c r="A28" s="5" t="n"/>
      <c r="B28" s="5" t="n"/>
      <c r="C28" s="5" t="inlineStr">
        <is>
          <t>价格冲击</t>
        </is>
      </c>
      <c r="D28" s="5" t="n"/>
      <c r="E28" s="5" t="n"/>
      <c r="F28" s="5" t="n"/>
      <c r="G28" s="5" t="n"/>
      <c r="H28" s="11">
        <f>IF(D28=0,"",ROUND((E28+F28+G28)/D28*100,1)&amp;"%")</f>
        <v/>
      </c>
      <c r="I28" s="11">
        <f>IF(D28=0,"",IF(D28&gt;1000,"优秀",IF(D28&gt;500,"良好",IF(D28&gt;100,"一般","待观察"))))</f>
        <v/>
      </c>
      <c r="J28" s="5" t="n"/>
    </row>
    <row r="29">
      <c r="A29" s="9" t="n"/>
      <c r="B29" s="9" t="n"/>
      <c r="C29" s="9" t="inlineStr">
        <is>
          <t>穿搭教程</t>
        </is>
      </c>
      <c r="D29" s="9" t="n"/>
      <c r="E29" s="9" t="n"/>
      <c r="F29" s="9" t="n"/>
      <c r="G29" s="9" t="n"/>
      <c r="H29" s="10">
        <f>IF(D29=0,"",ROUND((E29+F29+G29)/D29*100,1)&amp;"%")</f>
        <v/>
      </c>
      <c r="I29" s="10">
        <f>IF(D29=0,"",IF(D29&gt;1000,"优秀",IF(D29&gt;500,"良好",IF(D29&gt;100,"一般","待观察"))))</f>
        <v/>
      </c>
      <c r="J29" s="9" t="n"/>
    </row>
    <row r="30">
      <c r="A30" s="5" t="n"/>
      <c r="B30" s="5" t="n"/>
      <c r="C30" s="5" t="inlineStr">
        <is>
          <t>工厂故事</t>
        </is>
      </c>
      <c r="D30" s="5" t="n"/>
      <c r="E30" s="5" t="n"/>
      <c r="F30" s="5" t="n"/>
      <c r="G30" s="5" t="n"/>
      <c r="H30" s="11">
        <f>IF(D30=0,"",ROUND((E30+F30+G30)/D30*100,1)&amp;"%")</f>
        <v/>
      </c>
      <c r="I30" s="11">
        <f>IF(D30=0,"",IF(D30&gt;1000,"优秀",IF(D30&gt;500,"良好",IF(D30&gt;100,"一般","待观察"))))</f>
        <v/>
      </c>
      <c r="J30" s="5" t="n"/>
    </row>
    <row r="31">
      <c r="A31" s="9" t="n"/>
      <c r="B31" s="9" t="n"/>
      <c r="C31" s="9" t="inlineStr">
        <is>
          <t>好评反馈</t>
        </is>
      </c>
      <c r="D31" s="9" t="n"/>
      <c r="E31" s="9" t="n"/>
      <c r="F31" s="9" t="n"/>
      <c r="G31" s="9" t="n"/>
      <c r="H31" s="10">
        <f>IF(D31=0,"",ROUND((E31+F31+G31)/D31*100,1)&amp;"%")</f>
        <v/>
      </c>
      <c r="I31" s="10">
        <f>IF(D31=0,"",IF(D31&gt;1000,"优秀",IF(D31&gt;500,"良好",IF(D31&gt;100,"一般","待观察"))))</f>
        <v/>
      </c>
      <c r="J31" s="9" t="n"/>
    </row>
    <row r="32">
      <c r="A32" s="5" t="n"/>
      <c r="B32" s="5" t="n"/>
      <c r="C32" s="5" t="inlineStr">
        <is>
          <t>节日营销</t>
        </is>
      </c>
      <c r="D32" s="5" t="n"/>
      <c r="E32" s="5" t="n"/>
      <c r="F32" s="5" t="n"/>
      <c r="G32" s="5" t="n"/>
      <c r="H32" s="11">
        <f>IF(D32=0,"",ROUND((E32+F32+G32)/D32*100,1)&amp;"%")</f>
        <v/>
      </c>
      <c r="I32" s="11">
        <f>IF(D32=0,"",IF(D32&gt;1000,"优秀",IF(D32&gt;500,"良好",IF(D32&gt;100,"一般","待观察"))))</f>
        <v/>
      </c>
      <c r="J32" s="5" t="n"/>
    </row>
    <row r="33">
      <c r="A33" s="12" t="inlineStr">
        <is>
          <t>汇总</t>
        </is>
      </c>
      <c r="B33" s="13" t="n"/>
      <c r="C33" s="13" t="n"/>
      <c r="D33" s="12">
        <f>SUM(D3:D32)</f>
        <v/>
      </c>
      <c r="E33" s="12">
        <f>SUM(E3:E32)</f>
        <v/>
      </c>
      <c r="F33" s="12">
        <f>SUM(F3:F32)</f>
        <v/>
      </c>
      <c r="G33" s="12">
        <f>SUM(G3:G32)</f>
        <v/>
      </c>
      <c r="H33" s="13" t="n"/>
      <c r="I33" s="13" t="n"/>
      <c r="J33" s="13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 ht="36" customHeight="1">
      <c r="A1" s="1" t="inlineStr">
        <is>
          <t>抖音短视频数据追踪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日期</t>
        </is>
      </c>
      <c r="B2" s="3" t="inlineStr">
        <is>
          <t>发布时间</t>
        </is>
      </c>
      <c r="C2" s="3" t="inlineStr">
        <is>
          <t>视频标题</t>
        </is>
      </c>
      <c r="D2" s="3" t="inlineStr">
        <is>
          <t>播放量</t>
        </is>
      </c>
      <c r="E2" s="3" t="inlineStr">
        <is>
          <t>完播率%</t>
        </is>
      </c>
      <c r="F2" s="3" t="inlineStr">
        <is>
          <t>点赞</t>
        </is>
      </c>
      <c r="G2" s="3" t="inlineStr">
        <is>
          <t>评论</t>
        </is>
      </c>
      <c r="H2" s="3" t="inlineStr">
        <is>
          <t>转发</t>
        </is>
      </c>
      <c r="I2" s="3" t="inlineStr">
        <is>
          <t>互动率</t>
        </is>
      </c>
      <c r="J2" s="3" t="inlineStr">
        <is>
          <t>成交数</t>
        </is>
      </c>
      <c r="K2" s="3" t="inlineStr">
        <is>
          <t>改进备注</t>
        </is>
      </c>
    </row>
    <row r="3">
      <c r="A3" s="9" t="n"/>
      <c r="B3" s="9" t="n"/>
      <c r="C3" s="9" t="inlineStr">
        <is>
          <t>第1天-产品展示</t>
        </is>
      </c>
      <c r="D3" s="9" t="n"/>
      <c r="E3" s="9" t="n"/>
      <c r="F3" s="9" t="n"/>
      <c r="G3" s="9" t="n"/>
      <c r="H3" s="9" t="n"/>
      <c r="I3" s="10">
        <f>IF(D3=0,"",ROUND((F3+G3+H3)/D3*100,1)&amp;"%")</f>
        <v/>
      </c>
      <c r="J3" s="9" t="n"/>
      <c r="K3" s="9" t="n"/>
    </row>
    <row r="4">
      <c r="A4" s="5" t="n"/>
      <c r="B4" s="5" t="n"/>
      <c r="C4" s="5" t="inlineStr">
        <is>
          <t>第1天-价格对比</t>
        </is>
      </c>
      <c r="D4" s="5" t="n"/>
      <c r="E4" s="5" t="n"/>
      <c r="F4" s="5" t="n"/>
      <c r="G4" s="5" t="n"/>
      <c r="H4" s="5" t="n"/>
      <c r="I4" s="11">
        <f>IF(D4=0,"",ROUND((F4+G4+H4)/D4*100,1)&amp;"%")</f>
        <v/>
      </c>
      <c r="J4" s="5" t="n"/>
      <c r="K4" s="5" t="n"/>
    </row>
    <row r="5">
      <c r="A5" s="9" t="n"/>
      <c r="B5" s="9" t="n"/>
      <c r="C5" s="9" t="inlineStr">
        <is>
          <t>第1天-工厂探秘</t>
        </is>
      </c>
      <c r="D5" s="9" t="n"/>
      <c r="E5" s="9" t="n"/>
      <c r="F5" s="9" t="n"/>
      <c r="G5" s="9" t="n"/>
      <c r="H5" s="9" t="n"/>
      <c r="I5" s="10">
        <f>IF(D5=0,"",ROUND((F5+G5+H5)/D5*100,1)&amp;"%")</f>
        <v/>
      </c>
      <c r="J5" s="9" t="n"/>
      <c r="K5" s="9" t="n"/>
    </row>
    <row r="6">
      <c r="A6" s="5" t="n"/>
      <c r="B6" s="5" t="n"/>
      <c r="C6" s="5" t="inlineStr">
        <is>
          <t>第1天-穿搭教程</t>
        </is>
      </c>
      <c r="D6" s="5" t="n"/>
      <c r="E6" s="5" t="n"/>
      <c r="F6" s="5" t="n"/>
      <c r="G6" s="5" t="n"/>
      <c r="H6" s="5" t="n"/>
      <c r="I6" s="11">
        <f>IF(D6=0,"",ROUND((F6+G6+H6)/D6*100,1)&amp;"%")</f>
        <v/>
      </c>
      <c r="J6" s="5" t="n"/>
      <c r="K6" s="5" t="n"/>
    </row>
    <row r="7">
      <c r="A7" s="9" t="n"/>
      <c r="B7" s="9" t="n"/>
      <c r="C7" s="9" t="inlineStr">
        <is>
          <t>第1天-打包发货</t>
        </is>
      </c>
      <c r="D7" s="9" t="n"/>
      <c r="E7" s="9" t="n"/>
      <c r="F7" s="9" t="n"/>
      <c r="G7" s="9" t="n"/>
      <c r="H7" s="9" t="n"/>
      <c r="I7" s="10">
        <f>IF(D7=0,"",ROUND((F7+G7+H7)/D7*100,1)&amp;"%")</f>
        <v/>
      </c>
      <c r="J7" s="9" t="n"/>
      <c r="K7" s="9" t="n"/>
    </row>
    <row r="8">
      <c r="A8" s="5" t="n"/>
      <c r="B8" s="5" t="n"/>
      <c r="C8" s="5" t="inlineStr">
        <is>
          <t>第2天-产品展示</t>
        </is>
      </c>
      <c r="D8" s="5" t="n"/>
      <c r="E8" s="5" t="n"/>
      <c r="F8" s="5" t="n"/>
      <c r="G8" s="5" t="n"/>
      <c r="H8" s="5" t="n"/>
      <c r="I8" s="11">
        <f>IF(D8=0,"",ROUND((F8+G8+H8)/D8*100,1)&amp;"%")</f>
        <v/>
      </c>
      <c r="J8" s="5" t="n"/>
      <c r="K8" s="5" t="n"/>
    </row>
    <row r="9">
      <c r="A9" s="9" t="n"/>
      <c r="B9" s="9" t="n"/>
      <c r="C9" s="9" t="inlineStr">
        <is>
          <t>第2天-价格对比</t>
        </is>
      </c>
      <c r="D9" s="9" t="n"/>
      <c r="E9" s="9" t="n"/>
      <c r="F9" s="9" t="n"/>
      <c r="G9" s="9" t="n"/>
      <c r="H9" s="9" t="n"/>
      <c r="I9" s="10">
        <f>IF(D9=0,"",ROUND((F9+G9+H9)/D9*100,1)&amp;"%")</f>
        <v/>
      </c>
      <c r="J9" s="9" t="n"/>
      <c r="K9" s="9" t="n"/>
    </row>
    <row r="10">
      <c r="A10" s="5" t="n"/>
      <c r="B10" s="5" t="n"/>
      <c r="C10" s="5" t="inlineStr">
        <is>
          <t>第2天-工厂探秘</t>
        </is>
      </c>
      <c r="D10" s="5" t="n"/>
      <c r="E10" s="5" t="n"/>
      <c r="F10" s="5" t="n"/>
      <c r="G10" s="5" t="n"/>
      <c r="H10" s="5" t="n"/>
      <c r="I10" s="11">
        <f>IF(D10=0,"",ROUND((F10+G10+H10)/D10*100,1)&amp;"%")</f>
        <v/>
      </c>
      <c r="J10" s="5" t="n"/>
      <c r="K10" s="5" t="n"/>
    </row>
    <row r="11">
      <c r="A11" s="9" t="n"/>
      <c r="B11" s="9" t="n"/>
      <c r="C11" s="9" t="inlineStr">
        <is>
          <t>第2天-穿搭教程</t>
        </is>
      </c>
      <c r="D11" s="9" t="n"/>
      <c r="E11" s="9" t="n"/>
      <c r="F11" s="9" t="n"/>
      <c r="G11" s="9" t="n"/>
      <c r="H11" s="9" t="n"/>
      <c r="I11" s="10">
        <f>IF(D11=0,"",ROUND((F11+G11+H11)/D11*100,1)&amp;"%")</f>
        <v/>
      </c>
      <c r="J11" s="9" t="n"/>
      <c r="K11" s="9" t="n"/>
    </row>
    <row r="12">
      <c r="A12" s="5" t="n"/>
      <c r="B12" s="5" t="n"/>
      <c r="C12" s="5" t="inlineStr">
        <is>
          <t>第2天-打包发货</t>
        </is>
      </c>
      <c r="D12" s="5" t="n"/>
      <c r="E12" s="5" t="n"/>
      <c r="F12" s="5" t="n"/>
      <c r="G12" s="5" t="n"/>
      <c r="H12" s="5" t="n"/>
      <c r="I12" s="11">
        <f>IF(D12=0,"",ROUND((F12+G12+H12)/D12*100,1)&amp;"%")</f>
        <v/>
      </c>
      <c r="J12" s="5" t="n"/>
      <c r="K12" s="5" t="n"/>
    </row>
    <row r="13">
      <c r="A13" s="9" t="n"/>
      <c r="B13" s="9" t="n"/>
      <c r="C13" s="9" t="inlineStr">
        <is>
          <t>第3天-产品展示</t>
        </is>
      </c>
      <c r="D13" s="9" t="n"/>
      <c r="E13" s="9" t="n"/>
      <c r="F13" s="9" t="n"/>
      <c r="G13" s="9" t="n"/>
      <c r="H13" s="9" t="n"/>
      <c r="I13" s="10">
        <f>IF(D13=0,"",ROUND((F13+G13+H13)/D13*100,1)&amp;"%")</f>
        <v/>
      </c>
      <c r="J13" s="9" t="n"/>
      <c r="K13" s="9" t="n"/>
    </row>
    <row r="14">
      <c r="A14" s="5" t="n"/>
      <c r="B14" s="5" t="n"/>
      <c r="C14" s="5" t="inlineStr">
        <is>
          <t>第3天-价格对比</t>
        </is>
      </c>
      <c r="D14" s="5" t="n"/>
      <c r="E14" s="5" t="n"/>
      <c r="F14" s="5" t="n"/>
      <c r="G14" s="5" t="n"/>
      <c r="H14" s="5" t="n"/>
      <c r="I14" s="11">
        <f>IF(D14=0,"",ROUND((F14+G14+H14)/D14*100,1)&amp;"%")</f>
        <v/>
      </c>
      <c r="J14" s="5" t="n"/>
      <c r="K14" s="5" t="n"/>
    </row>
    <row r="15">
      <c r="A15" s="9" t="n"/>
      <c r="B15" s="9" t="n"/>
      <c r="C15" s="9" t="inlineStr">
        <is>
          <t>第3天-工厂探秘</t>
        </is>
      </c>
      <c r="D15" s="9" t="n"/>
      <c r="E15" s="9" t="n"/>
      <c r="F15" s="9" t="n"/>
      <c r="G15" s="9" t="n"/>
      <c r="H15" s="9" t="n"/>
      <c r="I15" s="10">
        <f>IF(D15=0,"",ROUND((F15+G15+H15)/D15*100,1)&amp;"%")</f>
        <v/>
      </c>
      <c r="J15" s="9" t="n"/>
      <c r="K15" s="9" t="n"/>
    </row>
    <row r="16">
      <c r="A16" s="5" t="n"/>
      <c r="B16" s="5" t="n"/>
      <c r="C16" s="5" t="inlineStr">
        <is>
          <t>第3天-穿搭教程</t>
        </is>
      </c>
      <c r="D16" s="5" t="n"/>
      <c r="E16" s="5" t="n"/>
      <c r="F16" s="5" t="n"/>
      <c r="G16" s="5" t="n"/>
      <c r="H16" s="5" t="n"/>
      <c r="I16" s="11">
        <f>IF(D16=0,"",ROUND((F16+G16+H16)/D16*100,1)&amp;"%")</f>
        <v/>
      </c>
      <c r="J16" s="5" t="n"/>
      <c r="K16" s="5" t="n"/>
    </row>
    <row r="17">
      <c r="A17" s="9" t="n"/>
      <c r="B17" s="9" t="n"/>
      <c r="C17" s="9" t="inlineStr">
        <is>
          <t>第3天-打包发货</t>
        </is>
      </c>
      <c r="D17" s="9" t="n"/>
      <c r="E17" s="9" t="n"/>
      <c r="F17" s="9" t="n"/>
      <c r="G17" s="9" t="n"/>
      <c r="H17" s="9" t="n"/>
      <c r="I17" s="10">
        <f>IF(D17=0,"",ROUND((F17+G17+H17)/D17*100,1)&amp;"%")</f>
        <v/>
      </c>
      <c r="J17" s="9" t="n"/>
      <c r="K17" s="9" t="n"/>
    </row>
    <row r="18">
      <c r="A18" s="5" t="n"/>
      <c r="B18" s="5" t="n"/>
      <c r="C18" s="5" t="inlineStr">
        <is>
          <t>第4天-产品展示</t>
        </is>
      </c>
      <c r="D18" s="5" t="n"/>
      <c r="E18" s="5" t="n"/>
      <c r="F18" s="5" t="n"/>
      <c r="G18" s="5" t="n"/>
      <c r="H18" s="5" t="n"/>
      <c r="I18" s="11">
        <f>IF(D18=0,"",ROUND((F18+G18+H18)/D18*100,1)&amp;"%")</f>
        <v/>
      </c>
      <c r="J18" s="5" t="n"/>
      <c r="K18" s="5" t="n"/>
    </row>
    <row r="19">
      <c r="A19" s="9" t="n"/>
      <c r="B19" s="9" t="n"/>
      <c r="C19" s="9" t="inlineStr">
        <is>
          <t>第4天-价格对比</t>
        </is>
      </c>
      <c r="D19" s="9" t="n"/>
      <c r="E19" s="9" t="n"/>
      <c r="F19" s="9" t="n"/>
      <c r="G19" s="9" t="n"/>
      <c r="H19" s="9" t="n"/>
      <c r="I19" s="10">
        <f>IF(D19=0,"",ROUND((F19+G19+H19)/D19*100,1)&amp;"%")</f>
        <v/>
      </c>
      <c r="J19" s="9" t="n"/>
      <c r="K19" s="9" t="n"/>
    </row>
    <row r="20">
      <c r="A20" s="5" t="n"/>
      <c r="B20" s="5" t="n"/>
      <c r="C20" s="5" t="inlineStr">
        <is>
          <t>第4天-工厂探秘</t>
        </is>
      </c>
      <c r="D20" s="5" t="n"/>
      <c r="E20" s="5" t="n"/>
      <c r="F20" s="5" t="n"/>
      <c r="G20" s="5" t="n"/>
      <c r="H20" s="5" t="n"/>
      <c r="I20" s="11">
        <f>IF(D20=0,"",ROUND((F20+G20+H20)/D20*100,1)&amp;"%")</f>
        <v/>
      </c>
      <c r="J20" s="5" t="n"/>
      <c r="K20" s="5" t="n"/>
    </row>
    <row r="21">
      <c r="A21" s="9" t="n"/>
      <c r="B21" s="9" t="n"/>
      <c r="C21" s="9" t="inlineStr">
        <is>
          <t>第4天-穿搭教程</t>
        </is>
      </c>
      <c r="D21" s="9" t="n"/>
      <c r="E21" s="9" t="n"/>
      <c r="F21" s="9" t="n"/>
      <c r="G21" s="9" t="n"/>
      <c r="H21" s="9" t="n"/>
      <c r="I21" s="10">
        <f>IF(D21=0,"",ROUND((F21+G21+H21)/D21*100,1)&amp;"%")</f>
        <v/>
      </c>
      <c r="J21" s="9" t="n"/>
      <c r="K21" s="9" t="n"/>
    </row>
    <row r="22">
      <c r="A22" s="5" t="n"/>
      <c r="B22" s="5" t="n"/>
      <c r="C22" s="5" t="inlineStr">
        <is>
          <t>第4天-打包发货</t>
        </is>
      </c>
      <c r="D22" s="5" t="n"/>
      <c r="E22" s="5" t="n"/>
      <c r="F22" s="5" t="n"/>
      <c r="G22" s="5" t="n"/>
      <c r="H22" s="5" t="n"/>
      <c r="I22" s="11">
        <f>IF(D22=0,"",ROUND((F22+G22+H22)/D22*100,1)&amp;"%")</f>
        <v/>
      </c>
      <c r="J22" s="5" t="n"/>
      <c r="K22" s="5" t="n"/>
    </row>
    <row r="23">
      <c r="A23" s="9" t="n"/>
      <c r="B23" s="9" t="n"/>
      <c r="C23" s="9" t="inlineStr">
        <is>
          <t>第5天-产品展示</t>
        </is>
      </c>
      <c r="D23" s="9" t="n"/>
      <c r="E23" s="9" t="n"/>
      <c r="F23" s="9" t="n"/>
      <c r="G23" s="9" t="n"/>
      <c r="H23" s="9" t="n"/>
      <c r="I23" s="10">
        <f>IF(D23=0,"",ROUND((F23+G23+H23)/D23*100,1)&amp;"%")</f>
        <v/>
      </c>
      <c r="J23" s="9" t="n"/>
      <c r="K23" s="9" t="n"/>
    </row>
    <row r="24">
      <c r="A24" s="5" t="n"/>
      <c r="B24" s="5" t="n"/>
      <c r="C24" s="5" t="inlineStr">
        <is>
          <t>第5天-价格对比</t>
        </is>
      </c>
      <c r="D24" s="5" t="n"/>
      <c r="E24" s="5" t="n"/>
      <c r="F24" s="5" t="n"/>
      <c r="G24" s="5" t="n"/>
      <c r="H24" s="5" t="n"/>
      <c r="I24" s="11">
        <f>IF(D24=0,"",ROUND((F24+G24+H24)/D24*100,1)&amp;"%")</f>
        <v/>
      </c>
      <c r="J24" s="5" t="n"/>
      <c r="K24" s="5" t="n"/>
    </row>
    <row r="25">
      <c r="A25" s="9" t="n"/>
      <c r="B25" s="9" t="n"/>
      <c r="C25" s="9" t="inlineStr">
        <is>
          <t>第5天-工厂探秘</t>
        </is>
      </c>
      <c r="D25" s="9" t="n"/>
      <c r="E25" s="9" t="n"/>
      <c r="F25" s="9" t="n"/>
      <c r="G25" s="9" t="n"/>
      <c r="H25" s="9" t="n"/>
      <c r="I25" s="10">
        <f>IF(D25=0,"",ROUND((F25+G25+H25)/D25*100,1)&amp;"%")</f>
        <v/>
      </c>
      <c r="J25" s="9" t="n"/>
      <c r="K25" s="9" t="n"/>
    </row>
    <row r="26">
      <c r="A26" s="5" t="n"/>
      <c r="B26" s="5" t="n"/>
      <c r="C26" s="5" t="inlineStr">
        <is>
          <t>第5天-穿搭教程</t>
        </is>
      </c>
      <c r="D26" s="5" t="n"/>
      <c r="E26" s="5" t="n"/>
      <c r="F26" s="5" t="n"/>
      <c r="G26" s="5" t="n"/>
      <c r="H26" s="5" t="n"/>
      <c r="I26" s="11">
        <f>IF(D26=0,"",ROUND((F26+G26+H26)/D26*100,1)&amp;"%")</f>
        <v/>
      </c>
      <c r="J26" s="5" t="n"/>
      <c r="K26" s="5" t="n"/>
    </row>
    <row r="27">
      <c r="A27" s="9" t="n"/>
      <c r="B27" s="9" t="n"/>
      <c r="C27" s="9" t="inlineStr">
        <is>
          <t>第5天-打包发货</t>
        </is>
      </c>
      <c r="D27" s="9" t="n"/>
      <c r="E27" s="9" t="n"/>
      <c r="F27" s="9" t="n"/>
      <c r="G27" s="9" t="n"/>
      <c r="H27" s="9" t="n"/>
      <c r="I27" s="10">
        <f>IF(D27=0,"",ROUND((F27+G27+H27)/D27*100,1)&amp;"%")</f>
        <v/>
      </c>
      <c r="J27" s="9" t="n"/>
      <c r="K27" s="9" t="n"/>
    </row>
    <row r="28">
      <c r="A28" s="5" t="n"/>
      <c r="B28" s="5" t="n"/>
      <c r="C28" s="5" t="inlineStr">
        <is>
          <t>第6天-产品展示</t>
        </is>
      </c>
      <c r="D28" s="5" t="n"/>
      <c r="E28" s="5" t="n"/>
      <c r="F28" s="5" t="n"/>
      <c r="G28" s="5" t="n"/>
      <c r="H28" s="5" t="n"/>
      <c r="I28" s="11">
        <f>IF(D28=0,"",ROUND((F28+G28+H28)/D28*100,1)&amp;"%")</f>
        <v/>
      </c>
      <c r="J28" s="5" t="n"/>
      <c r="K28" s="5" t="n"/>
    </row>
    <row r="29">
      <c r="A29" s="9" t="n"/>
      <c r="B29" s="9" t="n"/>
      <c r="C29" s="9" t="inlineStr">
        <is>
          <t>第6天-价格对比</t>
        </is>
      </c>
      <c r="D29" s="9" t="n"/>
      <c r="E29" s="9" t="n"/>
      <c r="F29" s="9" t="n"/>
      <c r="G29" s="9" t="n"/>
      <c r="H29" s="9" t="n"/>
      <c r="I29" s="10">
        <f>IF(D29=0,"",ROUND((F29+G29+H29)/D29*100,1)&amp;"%")</f>
        <v/>
      </c>
      <c r="J29" s="9" t="n"/>
      <c r="K29" s="9" t="n"/>
    </row>
    <row r="30">
      <c r="A30" s="5" t="n"/>
      <c r="B30" s="5" t="n"/>
      <c r="C30" s="5" t="inlineStr">
        <is>
          <t>第6天-工厂探秘</t>
        </is>
      </c>
      <c r="D30" s="5" t="n"/>
      <c r="E30" s="5" t="n"/>
      <c r="F30" s="5" t="n"/>
      <c r="G30" s="5" t="n"/>
      <c r="H30" s="5" t="n"/>
      <c r="I30" s="11">
        <f>IF(D30=0,"",ROUND((F30+G30+H30)/D30*100,1)&amp;"%")</f>
        <v/>
      </c>
      <c r="J30" s="5" t="n"/>
      <c r="K30" s="5" t="n"/>
    </row>
    <row r="31">
      <c r="A31" s="9" t="n"/>
      <c r="B31" s="9" t="n"/>
      <c r="C31" s="9" t="inlineStr">
        <is>
          <t>第6天-穿搭教程</t>
        </is>
      </c>
      <c r="D31" s="9" t="n"/>
      <c r="E31" s="9" t="n"/>
      <c r="F31" s="9" t="n"/>
      <c r="G31" s="9" t="n"/>
      <c r="H31" s="9" t="n"/>
      <c r="I31" s="10">
        <f>IF(D31=0,"",ROUND((F31+G31+H31)/D31*100,1)&amp;"%")</f>
        <v/>
      </c>
      <c r="J31" s="9" t="n"/>
      <c r="K31" s="9" t="n"/>
    </row>
    <row r="32">
      <c r="A32" s="5" t="n"/>
      <c r="B32" s="5" t="n"/>
      <c r="C32" s="5" t="inlineStr">
        <is>
          <t>第6天-打包发货</t>
        </is>
      </c>
      <c r="D32" s="5" t="n"/>
      <c r="E32" s="5" t="n"/>
      <c r="F32" s="5" t="n"/>
      <c r="G32" s="5" t="n"/>
      <c r="H32" s="5" t="n"/>
      <c r="I32" s="11">
        <f>IF(D32=0,"",ROUND((F32+G32+H32)/D32*100,1)&amp;"%")</f>
        <v/>
      </c>
      <c r="J32" s="5" t="n"/>
      <c r="K32" s="5" t="n"/>
    </row>
    <row r="33">
      <c r="A33" s="9" t="n"/>
      <c r="B33" s="9" t="n"/>
      <c r="C33" s="9" t="inlineStr">
        <is>
          <t>第7天-产品展示</t>
        </is>
      </c>
      <c r="D33" s="9" t="n"/>
      <c r="E33" s="9" t="n"/>
      <c r="F33" s="9" t="n"/>
      <c r="G33" s="9" t="n"/>
      <c r="H33" s="9" t="n"/>
      <c r="I33" s="10">
        <f>IF(D33=0,"",ROUND((F33+G33+H33)/D33*100,1)&amp;"%")</f>
        <v/>
      </c>
      <c r="J33" s="9" t="n"/>
      <c r="K33" s="9" t="n"/>
    </row>
    <row r="34">
      <c r="A34" s="5" t="n"/>
      <c r="B34" s="5" t="n"/>
      <c r="C34" s="5" t="inlineStr">
        <is>
          <t>第7天-价格对比</t>
        </is>
      </c>
      <c r="D34" s="5" t="n"/>
      <c r="E34" s="5" t="n"/>
      <c r="F34" s="5" t="n"/>
      <c r="G34" s="5" t="n"/>
      <c r="H34" s="5" t="n"/>
      <c r="I34" s="11">
        <f>IF(D34=0,"",ROUND((F34+G34+H34)/D34*100,1)&amp;"%")</f>
        <v/>
      </c>
      <c r="J34" s="5" t="n"/>
      <c r="K34" s="5" t="n"/>
    </row>
    <row r="35">
      <c r="A35" s="9" t="n"/>
      <c r="B35" s="9" t="n"/>
      <c r="C35" s="9" t="inlineStr">
        <is>
          <t>第7天-工厂探秘</t>
        </is>
      </c>
      <c r="D35" s="9" t="n"/>
      <c r="E35" s="9" t="n"/>
      <c r="F35" s="9" t="n"/>
      <c r="G35" s="9" t="n"/>
      <c r="H35" s="9" t="n"/>
      <c r="I35" s="10">
        <f>IF(D35=0,"",ROUND((F35+G35+H35)/D35*100,1)&amp;"%")</f>
        <v/>
      </c>
      <c r="J35" s="9" t="n"/>
      <c r="K35" s="9" t="n"/>
    </row>
    <row r="36">
      <c r="A36" s="5" t="n"/>
      <c r="B36" s="5" t="n"/>
      <c r="C36" s="5" t="inlineStr">
        <is>
          <t>第7天-穿搭教程</t>
        </is>
      </c>
      <c r="D36" s="5" t="n"/>
      <c r="E36" s="5" t="n"/>
      <c r="F36" s="5" t="n"/>
      <c r="G36" s="5" t="n"/>
      <c r="H36" s="5" t="n"/>
      <c r="I36" s="11">
        <f>IF(D36=0,"",ROUND((F36+G36+H36)/D36*100,1)&amp;"%")</f>
        <v/>
      </c>
      <c r="J36" s="5" t="n"/>
      <c r="K36" s="5" t="n"/>
    </row>
    <row r="37">
      <c r="A37" s="9" t="n"/>
      <c r="B37" s="9" t="n"/>
      <c r="C37" s="9" t="inlineStr">
        <is>
          <t>第7天-打包发货</t>
        </is>
      </c>
      <c r="D37" s="9" t="n"/>
      <c r="E37" s="9" t="n"/>
      <c r="F37" s="9" t="n"/>
      <c r="G37" s="9" t="n"/>
      <c r="H37" s="9" t="n"/>
      <c r="I37" s="10">
        <f>IF(D37=0,"",ROUND((F37+G37+H37)/D37*100,1)&amp;"%")</f>
        <v/>
      </c>
      <c r="J37" s="9" t="n"/>
      <c r="K37" s="9" t="n"/>
    </row>
    <row r="38">
      <c r="A38" s="12" t="inlineStr">
        <is>
          <t>汇总</t>
        </is>
      </c>
      <c r="B38" s="13" t="n"/>
      <c r="C38" s="13" t="n"/>
      <c r="D38" s="12">
        <f>SUM(D3:D37)</f>
        <v/>
      </c>
      <c r="E38" s="13" t="n"/>
      <c r="F38" s="12">
        <f>SUM(F3:F37)</f>
        <v/>
      </c>
      <c r="G38" s="12">
        <f>SUM(G3:G37)</f>
        <v/>
      </c>
      <c r="H38" s="12">
        <f>SUM(H3:H37)</f>
        <v/>
      </c>
      <c r="I38" s="13" t="n"/>
      <c r="J38" s="12">
        <f>SUM(J3:J37)</f>
        <v/>
      </c>
      <c r="K38" s="13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20" customWidth="1" min="10" max="10"/>
  </cols>
  <sheetData>
    <row r="1" ht="36" customHeight="1">
      <c r="A1" s="1" t="inlineStr">
        <is>
          <t>抖店经营数据追踪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日期</t>
        </is>
      </c>
      <c r="B2" s="3" t="inlineStr">
        <is>
          <t>访客数</t>
        </is>
      </c>
      <c r="C2" s="3" t="inlineStr">
        <is>
          <t>浏览量</t>
        </is>
      </c>
      <c r="D2" s="3" t="inlineStr">
        <is>
          <t>订单数</t>
        </is>
      </c>
      <c r="E2" s="3" t="inlineStr">
        <is>
          <t>成交金额</t>
        </is>
      </c>
      <c r="F2" s="3" t="inlineStr">
        <is>
          <t>客单价</t>
        </is>
      </c>
      <c r="G2" s="3" t="inlineStr">
        <is>
          <t>转化率%</t>
        </is>
      </c>
      <c r="H2" s="3" t="inlineStr">
        <is>
          <t>加购数</t>
        </is>
      </c>
      <c r="I2" s="3" t="inlineStr">
        <is>
          <t>退款数</t>
        </is>
      </c>
      <c r="J2" s="3" t="inlineStr">
        <is>
          <t>备注</t>
        </is>
      </c>
    </row>
    <row r="3">
      <c r="A3" s="9" t="n"/>
      <c r="B3" s="9" t="n"/>
      <c r="C3" s="9" t="n"/>
      <c r="D3" s="9" t="n"/>
      <c r="E3" s="9" t="n"/>
      <c r="F3" s="10">
        <f>IF(D3=0,"",ROUND(E3/D3,1))</f>
        <v/>
      </c>
      <c r="G3" s="10">
        <f>IF(B3=0,"",ROUND(D3/B3*100,1)&amp;"%")</f>
        <v/>
      </c>
      <c r="H3" s="9" t="n"/>
      <c r="I3" s="9" t="n"/>
      <c r="J3" s="9" t="n"/>
    </row>
    <row r="4">
      <c r="A4" s="5" t="n"/>
      <c r="B4" s="5" t="n"/>
      <c r="C4" s="5" t="n"/>
      <c r="D4" s="5" t="n"/>
      <c r="E4" s="5" t="n"/>
      <c r="F4" s="11">
        <f>IF(D4=0,"",ROUND(E4/D4,1))</f>
        <v/>
      </c>
      <c r="G4" s="11">
        <f>IF(B4=0,"",ROUND(D4/B4*100,1)&amp;"%")</f>
        <v/>
      </c>
      <c r="H4" s="5" t="n"/>
      <c r="I4" s="5" t="n"/>
      <c r="J4" s="5" t="n"/>
    </row>
    <row r="5">
      <c r="A5" s="9" t="n"/>
      <c r="B5" s="9" t="n"/>
      <c r="C5" s="9" t="n"/>
      <c r="D5" s="9" t="n"/>
      <c r="E5" s="9" t="n"/>
      <c r="F5" s="10">
        <f>IF(D5=0,"",ROUND(E5/D5,1))</f>
        <v/>
      </c>
      <c r="G5" s="10">
        <f>IF(B5=0,"",ROUND(D5/B5*100,1)&amp;"%")</f>
        <v/>
      </c>
      <c r="H5" s="9" t="n"/>
      <c r="I5" s="9" t="n"/>
      <c r="J5" s="9" t="n"/>
    </row>
    <row r="6">
      <c r="A6" s="5" t="n"/>
      <c r="B6" s="5" t="n"/>
      <c r="C6" s="5" t="n"/>
      <c r="D6" s="5" t="n"/>
      <c r="E6" s="5" t="n"/>
      <c r="F6" s="11">
        <f>IF(D6=0,"",ROUND(E6/D6,1))</f>
        <v/>
      </c>
      <c r="G6" s="11">
        <f>IF(B6=0,"",ROUND(D6/B6*100,1)&amp;"%")</f>
        <v/>
      </c>
      <c r="H6" s="5" t="n"/>
      <c r="I6" s="5" t="n"/>
      <c r="J6" s="5" t="n"/>
    </row>
    <row r="7">
      <c r="A7" s="9" t="n"/>
      <c r="B7" s="9" t="n"/>
      <c r="C7" s="9" t="n"/>
      <c r="D7" s="9" t="n"/>
      <c r="E7" s="9" t="n"/>
      <c r="F7" s="10">
        <f>IF(D7=0,"",ROUND(E7/D7,1))</f>
        <v/>
      </c>
      <c r="G7" s="10">
        <f>IF(B7=0,"",ROUND(D7/B7*100,1)&amp;"%")</f>
        <v/>
      </c>
      <c r="H7" s="9" t="n"/>
      <c r="I7" s="9" t="n"/>
      <c r="J7" s="9" t="n"/>
    </row>
    <row r="8">
      <c r="A8" s="5" t="n"/>
      <c r="B8" s="5" t="n"/>
      <c r="C8" s="5" t="n"/>
      <c r="D8" s="5" t="n"/>
      <c r="E8" s="5" t="n"/>
      <c r="F8" s="11">
        <f>IF(D8=0,"",ROUND(E8/D8,1))</f>
        <v/>
      </c>
      <c r="G8" s="11">
        <f>IF(B8=0,"",ROUND(D8/B8*100,1)&amp;"%")</f>
        <v/>
      </c>
      <c r="H8" s="5" t="n"/>
      <c r="I8" s="5" t="n"/>
      <c r="J8" s="5" t="n"/>
    </row>
    <row r="9">
      <c r="A9" s="9" t="n"/>
      <c r="B9" s="9" t="n"/>
      <c r="C9" s="9" t="n"/>
      <c r="D9" s="9" t="n"/>
      <c r="E9" s="9" t="n"/>
      <c r="F9" s="10">
        <f>IF(D9=0,"",ROUND(E9/D9,1))</f>
        <v/>
      </c>
      <c r="G9" s="10">
        <f>IF(B9=0,"",ROUND(D9/B9*100,1)&amp;"%")</f>
        <v/>
      </c>
      <c r="H9" s="9" t="n"/>
      <c r="I9" s="9" t="n"/>
      <c r="J9" s="9" t="n"/>
    </row>
    <row r="10">
      <c r="A10" s="5" t="n"/>
      <c r="B10" s="5" t="n"/>
      <c r="C10" s="5" t="n"/>
      <c r="D10" s="5" t="n"/>
      <c r="E10" s="5" t="n"/>
      <c r="F10" s="11">
        <f>IF(D10=0,"",ROUND(E10/D10,1))</f>
        <v/>
      </c>
      <c r="G10" s="11">
        <f>IF(B10=0,"",ROUND(D10/B10*100,1)&amp;"%")</f>
        <v/>
      </c>
      <c r="H10" s="5" t="n"/>
      <c r="I10" s="5" t="n"/>
      <c r="J10" s="5" t="n"/>
    </row>
    <row r="11">
      <c r="A11" s="9" t="n"/>
      <c r="B11" s="9" t="n"/>
      <c r="C11" s="9" t="n"/>
      <c r="D11" s="9" t="n"/>
      <c r="E11" s="9" t="n"/>
      <c r="F11" s="10">
        <f>IF(D11=0,"",ROUND(E11/D11,1))</f>
        <v/>
      </c>
      <c r="G11" s="10">
        <f>IF(B11=0,"",ROUND(D11/B11*100,1)&amp;"%")</f>
        <v/>
      </c>
      <c r="H11" s="9" t="n"/>
      <c r="I11" s="9" t="n"/>
      <c r="J11" s="9" t="n"/>
    </row>
    <row r="12">
      <c r="A12" s="5" t="n"/>
      <c r="B12" s="5" t="n"/>
      <c r="C12" s="5" t="n"/>
      <c r="D12" s="5" t="n"/>
      <c r="E12" s="5" t="n"/>
      <c r="F12" s="11">
        <f>IF(D12=0,"",ROUND(E12/D12,1))</f>
        <v/>
      </c>
      <c r="G12" s="11">
        <f>IF(B12=0,"",ROUND(D12/B12*100,1)&amp;"%")</f>
        <v/>
      </c>
      <c r="H12" s="5" t="n"/>
      <c r="I12" s="5" t="n"/>
      <c r="J12" s="5" t="n"/>
    </row>
    <row r="13">
      <c r="A13" s="9" t="n"/>
      <c r="B13" s="9" t="n"/>
      <c r="C13" s="9" t="n"/>
      <c r="D13" s="9" t="n"/>
      <c r="E13" s="9" t="n"/>
      <c r="F13" s="10">
        <f>IF(D13=0,"",ROUND(E13/D13,1))</f>
        <v/>
      </c>
      <c r="G13" s="10">
        <f>IF(B13=0,"",ROUND(D13/B13*100,1)&amp;"%")</f>
        <v/>
      </c>
      <c r="H13" s="9" t="n"/>
      <c r="I13" s="9" t="n"/>
      <c r="J13" s="9" t="n"/>
    </row>
    <row r="14">
      <c r="A14" s="5" t="n"/>
      <c r="B14" s="5" t="n"/>
      <c r="C14" s="5" t="n"/>
      <c r="D14" s="5" t="n"/>
      <c r="E14" s="5" t="n"/>
      <c r="F14" s="11">
        <f>IF(D14=0,"",ROUND(E14/D14,1))</f>
        <v/>
      </c>
      <c r="G14" s="11">
        <f>IF(B14=0,"",ROUND(D14/B14*100,1)&amp;"%")</f>
        <v/>
      </c>
      <c r="H14" s="5" t="n"/>
      <c r="I14" s="5" t="n"/>
      <c r="J14" s="5" t="n"/>
    </row>
    <row r="15">
      <c r="A15" s="9" t="n"/>
      <c r="B15" s="9" t="n"/>
      <c r="C15" s="9" t="n"/>
      <c r="D15" s="9" t="n"/>
      <c r="E15" s="9" t="n"/>
      <c r="F15" s="10">
        <f>IF(D15=0,"",ROUND(E15/D15,1))</f>
        <v/>
      </c>
      <c r="G15" s="10">
        <f>IF(B15=0,"",ROUND(D15/B15*100,1)&amp;"%")</f>
        <v/>
      </c>
      <c r="H15" s="9" t="n"/>
      <c r="I15" s="9" t="n"/>
      <c r="J15" s="9" t="n"/>
    </row>
    <row r="16">
      <c r="A16" s="5" t="n"/>
      <c r="B16" s="5" t="n"/>
      <c r="C16" s="5" t="n"/>
      <c r="D16" s="5" t="n"/>
      <c r="E16" s="5" t="n"/>
      <c r="F16" s="11">
        <f>IF(D16=0,"",ROUND(E16/D16,1))</f>
        <v/>
      </c>
      <c r="G16" s="11">
        <f>IF(B16=0,"",ROUND(D16/B16*100,1)&amp;"%")</f>
        <v/>
      </c>
      <c r="H16" s="5" t="n"/>
      <c r="I16" s="5" t="n"/>
      <c r="J16" s="5" t="n"/>
    </row>
    <row r="17">
      <c r="A17" s="9" t="n"/>
      <c r="B17" s="9" t="n"/>
      <c r="C17" s="9" t="n"/>
      <c r="D17" s="9" t="n"/>
      <c r="E17" s="9" t="n"/>
      <c r="F17" s="10">
        <f>IF(D17=0,"",ROUND(E17/D17,1))</f>
        <v/>
      </c>
      <c r="G17" s="10">
        <f>IF(B17=0,"",ROUND(D17/B17*100,1)&amp;"%")</f>
        <v/>
      </c>
      <c r="H17" s="9" t="n"/>
      <c r="I17" s="9" t="n"/>
      <c r="J17" s="9" t="n"/>
    </row>
    <row r="18">
      <c r="A18" s="5" t="n"/>
      <c r="B18" s="5" t="n"/>
      <c r="C18" s="5" t="n"/>
      <c r="D18" s="5" t="n"/>
      <c r="E18" s="5" t="n"/>
      <c r="F18" s="11">
        <f>IF(D18=0,"",ROUND(E18/D18,1))</f>
        <v/>
      </c>
      <c r="G18" s="11">
        <f>IF(B18=0,"",ROUND(D18/B18*100,1)&amp;"%")</f>
        <v/>
      </c>
      <c r="H18" s="5" t="n"/>
      <c r="I18" s="5" t="n"/>
      <c r="J18" s="5" t="n"/>
    </row>
    <row r="19">
      <c r="A19" s="9" t="n"/>
      <c r="B19" s="9" t="n"/>
      <c r="C19" s="9" t="n"/>
      <c r="D19" s="9" t="n"/>
      <c r="E19" s="9" t="n"/>
      <c r="F19" s="10">
        <f>IF(D19=0,"",ROUND(E19/D19,1))</f>
        <v/>
      </c>
      <c r="G19" s="10">
        <f>IF(B19=0,"",ROUND(D19/B19*100,1)&amp;"%")</f>
        <v/>
      </c>
      <c r="H19" s="9" t="n"/>
      <c r="I19" s="9" t="n"/>
      <c r="J19" s="9" t="n"/>
    </row>
    <row r="20">
      <c r="A20" s="5" t="n"/>
      <c r="B20" s="5" t="n"/>
      <c r="C20" s="5" t="n"/>
      <c r="D20" s="5" t="n"/>
      <c r="E20" s="5" t="n"/>
      <c r="F20" s="11">
        <f>IF(D20=0,"",ROUND(E20/D20,1))</f>
        <v/>
      </c>
      <c r="G20" s="11">
        <f>IF(B20=0,"",ROUND(D20/B20*100,1)&amp;"%")</f>
        <v/>
      </c>
      <c r="H20" s="5" t="n"/>
      <c r="I20" s="5" t="n"/>
      <c r="J20" s="5" t="n"/>
    </row>
    <row r="21">
      <c r="A21" s="9" t="n"/>
      <c r="B21" s="9" t="n"/>
      <c r="C21" s="9" t="n"/>
      <c r="D21" s="9" t="n"/>
      <c r="E21" s="9" t="n"/>
      <c r="F21" s="10">
        <f>IF(D21=0,"",ROUND(E21/D21,1))</f>
        <v/>
      </c>
      <c r="G21" s="10">
        <f>IF(B21=0,"",ROUND(D21/B21*100,1)&amp;"%")</f>
        <v/>
      </c>
      <c r="H21" s="9" t="n"/>
      <c r="I21" s="9" t="n"/>
      <c r="J21" s="9" t="n"/>
    </row>
    <row r="22">
      <c r="A22" s="5" t="n"/>
      <c r="B22" s="5" t="n"/>
      <c r="C22" s="5" t="n"/>
      <c r="D22" s="5" t="n"/>
      <c r="E22" s="5" t="n"/>
      <c r="F22" s="11">
        <f>IF(D22=0,"",ROUND(E22/D22,1))</f>
        <v/>
      </c>
      <c r="G22" s="11">
        <f>IF(B22=0,"",ROUND(D22/B22*100,1)&amp;"%")</f>
        <v/>
      </c>
      <c r="H22" s="5" t="n"/>
      <c r="I22" s="5" t="n"/>
      <c r="J22" s="5" t="n"/>
    </row>
    <row r="23">
      <c r="A23" s="9" t="n"/>
      <c r="B23" s="9" t="n"/>
      <c r="C23" s="9" t="n"/>
      <c r="D23" s="9" t="n"/>
      <c r="E23" s="9" t="n"/>
      <c r="F23" s="10">
        <f>IF(D23=0,"",ROUND(E23/D23,1))</f>
        <v/>
      </c>
      <c r="G23" s="10">
        <f>IF(B23=0,"",ROUND(D23/B23*100,1)&amp;"%")</f>
        <v/>
      </c>
      <c r="H23" s="9" t="n"/>
      <c r="I23" s="9" t="n"/>
      <c r="J23" s="9" t="n"/>
    </row>
    <row r="24">
      <c r="A24" s="5" t="n"/>
      <c r="B24" s="5" t="n"/>
      <c r="C24" s="5" t="n"/>
      <c r="D24" s="5" t="n"/>
      <c r="E24" s="5" t="n"/>
      <c r="F24" s="11">
        <f>IF(D24=0,"",ROUND(E24/D24,1))</f>
        <v/>
      </c>
      <c r="G24" s="11">
        <f>IF(B24=0,"",ROUND(D24/B24*100,1)&amp;"%")</f>
        <v/>
      </c>
      <c r="H24" s="5" t="n"/>
      <c r="I24" s="5" t="n"/>
      <c r="J24" s="5" t="n"/>
    </row>
    <row r="25">
      <c r="A25" s="9" t="n"/>
      <c r="B25" s="9" t="n"/>
      <c r="C25" s="9" t="n"/>
      <c r="D25" s="9" t="n"/>
      <c r="E25" s="9" t="n"/>
      <c r="F25" s="10">
        <f>IF(D25=0,"",ROUND(E25/D25,1))</f>
        <v/>
      </c>
      <c r="G25" s="10">
        <f>IF(B25=0,"",ROUND(D25/B25*100,1)&amp;"%")</f>
        <v/>
      </c>
      <c r="H25" s="9" t="n"/>
      <c r="I25" s="9" t="n"/>
      <c r="J25" s="9" t="n"/>
    </row>
    <row r="26">
      <c r="A26" s="5" t="n"/>
      <c r="B26" s="5" t="n"/>
      <c r="C26" s="5" t="n"/>
      <c r="D26" s="5" t="n"/>
      <c r="E26" s="5" t="n"/>
      <c r="F26" s="11">
        <f>IF(D26=0,"",ROUND(E26/D26,1))</f>
        <v/>
      </c>
      <c r="G26" s="11">
        <f>IF(B26=0,"",ROUND(D26/B26*100,1)&amp;"%")</f>
        <v/>
      </c>
      <c r="H26" s="5" t="n"/>
      <c r="I26" s="5" t="n"/>
      <c r="J26" s="5" t="n"/>
    </row>
    <row r="27">
      <c r="A27" s="9" t="n"/>
      <c r="B27" s="9" t="n"/>
      <c r="C27" s="9" t="n"/>
      <c r="D27" s="9" t="n"/>
      <c r="E27" s="9" t="n"/>
      <c r="F27" s="10">
        <f>IF(D27=0,"",ROUND(E27/D27,1))</f>
        <v/>
      </c>
      <c r="G27" s="10">
        <f>IF(B27=0,"",ROUND(D27/B27*100,1)&amp;"%")</f>
        <v/>
      </c>
      <c r="H27" s="9" t="n"/>
      <c r="I27" s="9" t="n"/>
      <c r="J27" s="9" t="n"/>
    </row>
    <row r="28">
      <c r="A28" s="5" t="n"/>
      <c r="B28" s="5" t="n"/>
      <c r="C28" s="5" t="n"/>
      <c r="D28" s="5" t="n"/>
      <c r="E28" s="5" t="n"/>
      <c r="F28" s="11">
        <f>IF(D28=0,"",ROUND(E28/D28,1))</f>
        <v/>
      </c>
      <c r="G28" s="11">
        <f>IF(B28=0,"",ROUND(D28/B28*100,1)&amp;"%")</f>
        <v/>
      </c>
      <c r="H28" s="5" t="n"/>
      <c r="I28" s="5" t="n"/>
      <c r="J28" s="5" t="n"/>
    </row>
    <row r="29">
      <c r="A29" s="9" t="n"/>
      <c r="B29" s="9" t="n"/>
      <c r="C29" s="9" t="n"/>
      <c r="D29" s="9" t="n"/>
      <c r="E29" s="9" t="n"/>
      <c r="F29" s="10">
        <f>IF(D29=0,"",ROUND(E29/D29,1))</f>
        <v/>
      </c>
      <c r="G29" s="10">
        <f>IF(B29=0,"",ROUND(D29/B29*100,1)&amp;"%")</f>
        <v/>
      </c>
      <c r="H29" s="9" t="n"/>
      <c r="I29" s="9" t="n"/>
      <c r="J29" s="9" t="n"/>
    </row>
    <row r="30">
      <c r="A30" s="5" t="n"/>
      <c r="B30" s="5" t="n"/>
      <c r="C30" s="5" t="n"/>
      <c r="D30" s="5" t="n"/>
      <c r="E30" s="5" t="n"/>
      <c r="F30" s="11">
        <f>IF(D30=0,"",ROUND(E30/D30,1))</f>
        <v/>
      </c>
      <c r="G30" s="11">
        <f>IF(B30=0,"",ROUND(D30/B30*100,1)&amp;"%")</f>
        <v/>
      </c>
      <c r="H30" s="5" t="n"/>
      <c r="I30" s="5" t="n"/>
      <c r="J30" s="5" t="n"/>
    </row>
    <row r="31">
      <c r="A31" s="9" t="n"/>
      <c r="B31" s="9" t="n"/>
      <c r="C31" s="9" t="n"/>
      <c r="D31" s="9" t="n"/>
      <c r="E31" s="9" t="n"/>
      <c r="F31" s="10">
        <f>IF(D31=0,"",ROUND(E31/D31,1))</f>
        <v/>
      </c>
      <c r="G31" s="10">
        <f>IF(B31=0,"",ROUND(D31/B31*100,1)&amp;"%")</f>
        <v/>
      </c>
      <c r="H31" s="9" t="n"/>
      <c r="I31" s="9" t="n"/>
      <c r="J31" s="9" t="n"/>
    </row>
    <row r="32">
      <c r="A32" s="5" t="n"/>
      <c r="B32" s="5" t="n"/>
      <c r="C32" s="5" t="n"/>
      <c r="D32" s="5" t="n"/>
      <c r="E32" s="5" t="n"/>
      <c r="F32" s="11">
        <f>IF(D32=0,"",ROUND(E32/D32,1))</f>
        <v/>
      </c>
      <c r="G32" s="11">
        <f>IF(B32=0,"",ROUND(D32/B32*100,1)&amp;"%")</f>
        <v/>
      </c>
      <c r="H32" s="5" t="n"/>
      <c r="I32" s="5" t="n"/>
      <c r="J32" s="5" t="n"/>
    </row>
    <row r="33">
      <c r="A33" s="12" t="inlineStr">
        <is>
          <t>汇总</t>
        </is>
      </c>
      <c r="B33" s="12">
        <f>SUM(B3:B32)</f>
        <v/>
      </c>
      <c r="C33" s="13" t="n"/>
      <c r="D33" s="12">
        <f>SUM(D3:D32)</f>
        <v/>
      </c>
      <c r="E33" s="12">
        <f>SUM(E3:E32)</f>
        <v/>
      </c>
      <c r="F33" s="13" t="n"/>
      <c r="G33" s="13" t="n"/>
      <c r="H33" s="12">
        <f>SUM(H3:H32)</f>
        <v/>
      </c>
      <c r="I33" s="12">
        <f>SUM(I3:I32)</f>
        <v/>
      </c>
      <c r="J33" s="13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 ht="36" customHeight="1">
      <c r="A1" s="1" t="inlineStr">
        <is>
          <t>每周数据复盘表</t>
        </is>
      </c>
      <c r="B1" s="2" t="n"/>
      <c r="C1" s="2" t="n"/>
      <c r="D1" s="2" t="n"/>
      <c r="E1" s="2" t="n"/>
      <c r="F1" s="2" t="n"/>
      <c r="G1" s="2" t="n"/>
      <c r="H1" s="2" t="n"/>
    </row>
    <row r="2" ht="40" customHeight="1">
      <c r="A2" s="3" t="inlineStr">
        <is>
          <t>周次</t>
        </is>
      </c>
      <c r="B2" s="3" t="inlineStr">
        <is>
          <t>小红书
笔记数</t>
        </is>
      </c>
      <c r="C2" s="3" t="inlineStr">
        <is>
          <t>小红书
总曝光</t>
        </is>
      </c>
      <c r="D2" s="3" t="inlineStr">
        <is>
          <t>抖音
视频数</t>
        </is>
      </c>
      <c r="E2" s="3" t="inlineStr">
        <is>
          <t>抖音
总播放</t>
        </is>
      </c>
      <c r="F2" s="3" t="inlineStr">
        <is>
          <t>新增
粉丝</t>
        </is>
      </c>
      <c r="G2" s="3" t="inlineStr">
        <is>
          <t>成交
订单数</t>
        </is>
      </c>
      <c r="H2" s="3" t="inlineStr">
        <is>
          <t>本周总结/下周改进</t>
        </is>
      </c>
    </row>
    <row r="3">
      <c r="A3" s="9" t="inlineStr">
        <is>
          <t>第1周</t>
        </is>
      </c>
      <c r="B3" s="9" t="n"/>
      <c r="C3" s="9" t="n"/>
      <c r="D3" s="9" t="n"/>
      <c r="E3" s="9" t="n"/>
      <c r="F3" s="9" t="n"/>
      <c r="G3" s="9" t="n"/>
      <c r="H3" s="14" t="n"/>
    </row>
    <row r="4">
      <c r="A4" s="5" t="inlineStr">
        <is>
          <t>第2周</t>
        </is>
      </c>
      <c r="B4" s="5" t="n"/>
      <c r="C4" s="5" t="n"/>
      <c r="D4" s="5" t="n"/>
      <c r="E4" s="5" t="n"/>
      <c r="F4" s="5" t="n"/>
      <c r="G4" s="5" t="n"/>
      <c r="H4" s="15" t="n"/>
    </row>
    <row r="5">
      <c r="A5" s="9" t="inlineStr">
        <is>
          <t>第3周</t>
        </is>
      </c>
      <c r="B5" s="9" t="n"/>
      <c r="C5" s="9" t="n"/>
      <c r="D5" s="9" t="n"/>
      <c r="E5" s="9" t="n"/>
      <c r="F5" s="9" t="n"/>
      <c r="G5" s="9" t="n"/>
      <c r="H5" s="14" t="n"/>
    </row>
    <row r="6">
      <c r="A6" s="5" t="inlineStr">
        <is>
          <t>第4周</t>
        </is>
      </c>
      <c r="B6" s="5" t="n"/>
      <c r="C6" s="5" t="n"/>
      <c r="D6" s="5" t="n"/>
      <c r="E6" s="5" t="n"/>
      <c r="F6" s="5" t="n"/>
      <c r="G6" s="5" t="n"/>
      <c r="H6" s="15" t="n"/>
    </row>
    <row r="7">
      <c r="A7" s="9" t="inlineStr">
        <is>
          <t>第5周</t>
        </is>
      </c>
      <c r="B7" s="9" t="n"/>
      <c r="C7" s="9" t="n"/>
      <c r="D7" s="9" t="n"/>
      <c r="E7" s="9" t="n"/>
      <c r="F7" s="9" t="n"/>
      <c r="G7" s="9" t="n"/>
      <c r="H7" s="14" t="n"/>
    </row>
    <row r="8">
      <c r="A8" s="5" t="inlineStr">
        <is>
          <t>第6周</t>
        </is>
      </c>
      <c r="B8" s="5" t="n"/>
      <c r="C8" s="5" t="n"/>
      <c r="D8" s="5" t="n"/>
      <c r="E8" s="5" t="n"/>
      <c r="F8" s="5" t="n"/>
      <c r="G8" s="5" t="n"/>
      <c r="H8" s="15" t="n"/>
    </row>
    <row r="9">
      <c r="A9" s="9" t="inlineStr">
        <is>
          <t>第7周</t>
        </is>
      </c>
      <c r="B9" s="9" t="n"/>
      <c r="C9" s="9" t="n"/>
      <c r="D9" s="9" t="n"/>
      <c r="E9" s="9" t="n"/>
      <c r="F9" s="9" t="n"/>
      <c r="G9" s="9" t="n"/>
      <c r="H9" s="14" t="n"/>
    </row>
    <row r="10">
      <c r="A10" s="5" t="inlineStr">
        <is>
          <t>第8周</t>
        </is>
      </c>
      <c r="B10" s="5" t="n"/>
      <c r="C10" s="5" t="n"/>
      <c r="D10" s="5" t="n"/>
      <c r="E10" s="5" t="n"/>
      <c r="F10" s="5" t="n"/>
      <c r="G10" s="5" t="n"/>
      <c r="H10" s="15" t="n"/>
    </row>
    <row r="11">
      <c r="A11" s="9" t="inlineStr">
        <is>
          <t>第9周</t>
        </is>
      </c>
      <c r="B11" s="9" t="n"/>
      <c r="C11" s="9" t="n"/>
      <c r="D11" s="9" t="n"/>
      <c r="E11" s="9" t="n"/>
      <c r="F11" s="9" t="n"/>
      <c r="G11" s="9" t="n"/>
      <c r="H11" s="14" t="n"/>
    </row>
    <row r="12">
      <c r="A12" s="5" t="inlineStr">
        <is>
          <t>第10周</t>
        </is>
      </c>
      <c r="B12" s="5" t="n"/>
      <c r="C12" s="5" t="n"/>
      <c r="D12" s="5" t="n"/>
      <c r="E12" s="5" t="n"/>
      <c r="F12" s="5" t="n"/>
      <c r="G12" s="5" t="n"/>
      <c r="H12" s="15" t="n"/>
    </row>
    <row r="13">
      <c r="A13" s="9" t="inlineStr">
        <is>
          <t>第11周</t>
        </is>
      </c>
      <c r="B13" s="9" t="n"/>
      <c r="C13" s="9" t="n"/>
      <c r="D13" s="9" t="n"/>
      <c r="E13" s="9" t="n"/>
      <c r="F13" s="9" t="n"/>
      <c r="G13" s="9" t="n"/>
      <c r="H13" s="14" t="n"/>
    </row>
    <row r="14">
      <c r="A14" s="5" t="inlineStr">
        <is>
          <t>第12周</t>
        </is>
      </c>
      <c r="B14" s="5" t="n"/>
      <c r="C14" s="5" t="n"/>
      <c r="D14" s="5" t="n"/>
      <c r="E14" s="5" t="n"/>
      <c r="F14" s="5" t="n"/>
      <c r="G14" s="5" t="n"/>
      <c r="H14" s="15" t="n"/>
    </row>
    <row r="15">
      <c r="A15" s="9" t="inlineStr">
        <is>
          <t>第13周</t>
        </is>
      </c>
      <c r="B15" s="9" t="n"/>
      <c r="C15" s="9" t="n"/>
      <c r="D15" s="9" t="n"/>
      <c r="E15" s="9" t="n"/>
      <c r="F15" s="9" t="n"/>
      <c r="G15" s="9" t="n"/>
      <c r="H15" s="14" t="n"/>
    </row>
    <row r="16">
      <c r="A16" s="5" t="inlineStr">
        <is>
          <t>第14周</t>
        </is>
      </c>
      <c r="B16" s="5" t="n"/>
      <c r="C16" s="5" t="n"/>
      <c r="D16" s="5" t="n"/>
      <c r="E16" s="5" t="n"/>
      <c r="F16" s="5" t="n"/>
      <c r="G16" s="5" t="n"/>
      <c r="H16" s="15" t="n"/>
    </row>
    <row r="17">
      <c r="A17" s="9" t="inlineStr">
        <is>
          <t>第15周</t>
        </is>
      </c>
      <c r="B17" s="9" t="n"/>
      <c r="C17" s="9" t="n"/>
      <c r="D17" s="9" t="n"/>
      <c r="E17" s="9" t="n"/>
      <c r="F17" s="9" t="n"/>
      <c r="G17" s="9" t="n"/>
      <c r="H17" s="14" t="n"/>
    </row>
    <row r="18">
      <c r="A18" s="5" t="inlineStr">
        <is>
          <t>第16周</t>
        </is>
      </c>
      <c r="B18" s="5" t="n"/>
      <c r="C18" s="5" t="n"/>
      <c r="D18" s="5" t="n"/>
      <c r="E18" s="5" t="n"/>
      <c r="F18" s="5" t="n"/>
      <c r="G18" s="5" t="n"/>
      <c r="H18" s="15" t="n"/>
    </row>
    <row r="19">
      <c r="A19" s="12" t="inlineStr">
        <is>
          <t>合计</t>
        </is>
      </c>
      <c r="B19" s="12">
        <f>SUM(B3:B18)</f>
        <v/>
      </c>
      <c r="C19" s="12">
        <f>SUM(C3:C18)</f>
        <v/>
      </c>
      <c r="D19" s="12">
        <f>SUM(D3:D18)</f>
        <v/>
      </c>
      <c r="E19" s="12">
        <f>SUM(E3:E18)</f>
        <v/>
      </c>
      <c r="F19" s="12">
        <f>SUM(F3:F18)</f>
        <v/>
      </c>
      <c r="G19" s="12">
        <f>SUM(G3:G18)</f>
        <v/>
      </c>
      <c r="H19" s="13" t="n"/>
    </row>
    <row r="21">
      <c r="A21" s="16" t="inlineStr">
        <is>
          <t>数据解读参考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17" t="inlineStr">
        <is>
          <t>· 曝光高点赞少 → 内容质量要提升，多加图片和细节</t>
        </is>
      </c>
    </row>
    <row r="23">
      <c r="A23" s="17" t="inlineStr">
        <is>
          <t>· 完播率&lt;15% → 开头3秒不够吸引人，换冲突/悬念句式</t>
        </is>
      </c>
    </row>
    <row r="24">
      <c r="A24" s="17" t="inlineStr">
        <is>
          <t>· 播放高转化低 → 检查购物车商品信息是否完整</t>
        </is>
      </c>
    </row>
    <row r="25">
      <c r="A25" s="17" t="inlineStr">
        <is>
          <t>· 访客多下单少（转化率&lt;2%）→ 优化详情页主图和描述</t>
        </is>
      </c>
    </row>
    <row r="26">
      <c r="A26" s="17" t="inlineStr">
        <is>
          <t>· 加购多成交少 → 直播间催单+发优惠券激活</t>
        </is>
      </c>
    </row>
  </sheetData>
  <mergeCells count="7">
    <mergeCell ref="A26:H26"/>
    <mergeCell ref="A21:H21"/>
    <mergeCell ref="A25:H25"/>
    <mergeCell ref="A24:H24"/>
    <mergeCell ref="A1:H1"/>
    <mergeCell ref="A23:H23"/>
    <mergeCell ref="A22:H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2" customWidth="1" min="11" max="11"/>
  </cols>
  <sheetData>
    <row r="1" ht="36" customHeight="1">
      <c r="A1" s="1" t="inlineStr">
        <is>
          <t>客户分层管理表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序号</t>
        </is>
      </c>
      <c r="B2" s="3" t="inlineStr">
        <is>
          <t>客户昵称</t>
        </is>
      </c>
      <c r="C2" s="3" t="inlineStr">
        <is>
          <t>来源平台</t>
        </is>
      </c>
      <c r="D2" s="3" t="inlineStr">
        <is>
          <t>微信号</t>
        </is>
      </c>
      <c r="E2" s="3" t="inlineStr">
        <is>
          <t>客户等级</t>
        </is>
      </c>
      <c r="F2" s="3" t="inlineStr">
        <is>
          <t>首次购买</t>
        </is>
      </c>
      <c r="G2" s="3" t="inlineStr">
        <is>
          <t>最近购买</t>
        </is>
      </c>
      <c r="H2" s="3" t="inlineStr">
        <is>
          <t>累计消费</t>
        </is>
      </c>
      <c r="I2" s="3" t="inlineStr">
        <is>
          <t>购买次数</t>
        </is>
      </c>
      <c r="J2" s="3" t="inlineStr">
        <is>
          <t>下次跟进</t>
        </is>
      </c>
      <c r="K2" s="3" t="inlineStr">
        <is>
          <t>备注</t>
        </is>
      </c>
    </row>
    <row r="3">
      <c r="A3" s="9" t="n">
        <v>1</v>
      </c>
      <c r="B3" s="9" t="n"/>
      <c r="C3" s="9" t="n"/>
      <c r="D3" s="9" t="n"/>
      <c r="E3" s="18" t="inlineStr">
        <is>
          <t>A-VIP</t>
        </is>
      </c>
      <c r="F3" s="9" t="n"/>
      <c r="G3" s="9" t="n"/>
      <c r="H3" s="9" t="n"/>
      <c r="I3" s="9" t="n"/>
      <c r="J3" s="9" t="n"/>
      <c r="K3" s="9" t="n"/>
    </row>
    <row r="4">
      <c r="A4" s="5" t="n">
        <v>2</v>
      </c>
      <c r="B4" s="5" t="n"/>
      <c r="C4" s="5" t="n"/>
      <c r="D4" s="5" t="n"/>
      <c r="E4" s="19" t="inlineStr">
        <is>
          <t>B-活跃</t>
        </is>
      </c>
      <c r="F4" s="5" t="n"/>
      <c r="G4" s="5" t="n"/>
      <c r="H4" s="5" t="n"/>
      <c r="I4" s="5" t="n"/>
      <c r="J4" s="5" t="n"/>
      <c r="K4" s="5" t="n"/>
    </row>
    <row r="5">
      <c r="A5" s="9" t="n">
        <v>3</v>
      </c>
      <c r="B5" s="9" t="n"/>
      <c r="C5" s="9" t="n"/>
      <c r="D5" s="9" t="n"/>
      <c r="E5" s="20" t="inlineStr">
        <is>
          <t>C-沉默</t>
        </is>
      </c>
      <c r="F5" s="9" t="n"/>
      <c r="G5" s="9" t="n"/>
      <c r="H5" s="9" t="n"/>
      <c r="I5" s="9" t="n"/>
      <c r="J5" s="9" t="n"/>
      <c r="K5" s="9" t="n"/>
    </row>
    <row r="6">
      <c r="A6" s="5" t="n">
        <v>4</v>
      </c>
      <c r="B6" s="5" t="n"/>
      <c r="C6" s="5" t="n"/>
      <c r="D6" s="5" t="n"/>
      <c r="E6" s="21" t="inlineStr">
        <is>
          <t>D-流失</t>
        </is>
      </c>
      <c r="F6" s="5" t="n"/>
      <c r="G6" s="5" t="n"/>
      <c r="H6" s="5" t="n"/>
      <c r="I6" s="5" t="n"/>
      <c r="J6" s="5" t="n"/>
      <c r="K6" s="5" t="n"/>
    </row>
    <row r="7">
      <c r="A7" s="9" t="n">
        <v>5</v>
      </c>
      <c r="B7" s="9" t="n"/>
      <c r="C7" s="9" t="n"/>
      <c r="D7" s="9" t="n"/>
      <c r="E7" s="18" t="inlineStr">
        <is>
          <t>A-VIP</t>
        </is>
      </c>
      <c r="F7" s="9" t="n"/>
      <c r="G7" s="9" t="n"/>
      <c r="H7" s="9" t="n"/>
      <c r="I7" s="9" t="n"/>
      <c r="J7" s="9" t="n"/>
      <c r="K7" s="9" t="n"/>
    </row>
    <row r="8">
      <c r="A8" s="5" t="n">
        <v>6</v>
      </c>
      <c r="B8" s="5" t="n"/>
      <c r="C8" s="5" t="n"/>
      <c r="D8" s="5" t="n"/>
      <c r="E8" s="19" t="inlineStr">
        <is>
          <t>B-活跃</t>
        </is>
      </c>
      <c r="F8" s="5" t="n"/>
      <c r="G8" s="5" t="n"/>
      <c r="H8" s="5" t="n"/>
      <c r="I8" s="5" t="n"/>
      <c r="J8" s="5" t="n"/>
      <c r="K8" s="5" t="n"/>
    </row>
    <row r="9">
      <c r="A9" s="9" t="n">
        <v>7</v>
      </c>
      <c r="B9" s="9" t="n"/>
      <c r="C9" s="9" t="n"/>
      <c r="D9" s="9" t="n"/>
      <c r="E9" s="20" t="inlineStr">
        <is>
          <t>C-沉默</t>
        </is>
      </c>
      <c r="F9" s="9" t="n"/>
      <c r="G9" s="9" t="n"/>
      <c r="H9" s="9" t="n"/>
      <c r="I9" s="9" t="n"/>
      <c r="J9" s="9" t="n"/>
      <c r="K9" s="9" t="n"/>
    </row>
    <row r="10">
      <c r="A10" s="5" t="n">
        <v>8</v>
      </c>
      <c r="B10" s="5" t="n"/>
      <c r="C10" s="5" t="n"/>
      <c r="D10" s="5" t="n"/>
      <c r="E10" s="21" t="inlineStr">
        <is>
          <t>D-流失</t>
        </is>
      </c>
      <c r="F10" s="5" t="n"/>
      <c r="G10" s="5" t="n"/>
      <c r="H10" s="5" t="n"/>
      <c r="I10" s="5" t="n"/>
      <c r="J10" s="5" t="n"/>
      <c r="K10" s="5" t="n"/>
    </row>
    <row r="11">
      <c r="A11" s="9" t="n">
        <v>9</v>
      </c>
      <c r="B11" s="9" t="n"/>
      <c r="C11" s="9" t="n"/>
      <c r="D11" s="9" t="n"/>
      <c r="E11" s="18" t="inlineStr">
        <is>
          <t>A-VIP</t>
        </is>
      </c>
      <c r="F11" s="9" t="n"/>
      <c r="G11" s="9" t="n"/>
      <c r="H11" s="9" t="n"/>
      <c r="I11" s="9" t="n"/>
      <c r="J11" s="9" t="n"/>
      <c r="K11" s="9" t="n"/>
    </row>
    <row r="12">
      <c r="A12" s="5" t="n">
        <v>10</v>
      </c>
      <c r="B12" s="5" t="n"/>
      <c r="C12" s="5" t="n"/>
      <c r="D12" s="5" t="n"/>
      <c r="E12" s="19" t="inlineStr">
        <is>
          <t>B-活跃</t>
        </is>
      </c>
      <c r="F12" s="5" t="n"/>
      <c r="G12" s="5" t="n"/>
      <c r="H12" s="5" t="n"/>
      <c r="I12" s="5" t="n"/>
      <c r="J12" s="5" t="n"/>
      <c r="K12" s="5" t="n"/>
    </row>
    <row r="13">
      <c r="A13" s="9" t="n">
        <v>11</v>
      </c>
      <c r="B13" s="9" t="n"/>
      <c r="C13" s="9" t="n"/>
      <c r="D13" s="9" t="n"/>
      <c r="E13" s="20" t="inlineStr">
        <is>
          <t>C-沉默</t>
        </is>
      </c>
      <c r="F13" s="9" t="n"/>
      <c r="G13" s="9" t="n"/>
      <c r="H13" s="9" t="n"/>
      <c r="I13" s="9" t="n"/>
      <c r="J13" s="9" t="n"/>
      <c r="K13" s="9" t="n"/>
    </row>
    <row r="14">
      <c r="A14" s="5" t="n">
        <v>12</v>
      </c>
      <c r="B14" s="5" t="n"/>
      <c r="C14" s="5" t="n"/>
      <c r="D14" s="5" t="n"/>
      <c r="E14" s="21" t="inlineStr">
        <is>
          <t>D-流失</t>
        </is>
      </c>
      <c r="F14" s="5" t="n"/>
      <c r="G14" s="5" t="n"/>
      <c r="H14" s="5" t="n"/>
      <c r="I14" s="5" t="n"/>
      <c r="J14" s="5" t="n"/>
      <c r="K14" s="5" t="n"/>
    </row>
    <row r="15">
      <c r="A15" s="9" t="n">
        <v>13</v>
      </c>
      <c r="B15" s="9" t="n"/>
      <c r="C15" s="9" t="n"/>
      <c r="D15" s="9" t="n"/>
      <c r="E15" s="18" t="inlineStr">
        <is>
          <t>A-VIP</t>
        </is>
      </c>
      <c r="F15" s="9" t="n"/>
      <c r="G15" s="9" t="n"/>
      <c r="H15" s="9" t="n"/>
      <c r="I15" s="9" t="n"/>
      <c r="J15" s="9" t="n"/>
      <c r="K15" s="9" t="n"/>
    </row>
    <row r="16">
      <c r="A16" s="5" t="n">
        <v>14</v>
      </c>
      <c r="B16" s="5" t="n"/>
      <c r="C16" s="5" t="n"/>
      <c r="D16" s="5" t="n"/>
      <c r="E16" s="19" t="inlineStr">
        <is>
          <t>B-活跃</t>
        </is>
      </c>
      <c r="F16" s="5" t="n"/>
      <c r="G16" s="5" t="n"/>
      <c r="H16" s="5" t="n"/>
      <c r="I16" s="5" t="n"/>
      <c r="J16" s="5" t="n"/>
      <c r="K16" s="5" t="n"/>
    </row>
    <row r="17">
      <c r="A17" s="9" t="n">
        <v>15</v>
      </c>
      <c r="B17" s="9" t="n"/>
      <c r="C17" s="9" t="n"/>
      <c r="D17" s="9" t="n"/>
      <c r="E17" s="20" t="inlineStr">
        <is>
          <t>C-沉默</t>
        </is>
      </c>
      <c r="F17" s="9" t="n"/>
      <c r="G17" s="9" t="n"/>
      <c r="H17" s="9" t="n"/>
      <c r="I17" s="9" t="n"/>
      <c r="J17" s="9" t="n"/>
      <c r="K17" s="9" t="n"/>
    </row>
    <row r="18">
      <c r="A18" s="5" t="n">
        <v>16</v>
      </c>
      <c r="B18" s="5" t="n"/>
      <c r="C18" s="5" t="n"/>
      <c r="D18" s="5" t="n"/>
      <c r="E18" s="21" t="inlineStr">
        <is>
          <t>D-流失</t>
        </is>
      </c>
      <c r="F18" s="5" t="n"/>
      <c r="G18" s="5" t="n"/>
      <c r="H18" s="5" t="n"/>
      <c r="I18" s="5" t="n"/>
      <c r="J18" s="5" t="n"/>
      <c r="K18" s="5" t="n"/>
    </row>
    <row r="19">
      <c r="A19" s="9" t="n">
        <v>17</v>
      </c>
      <c r="B19" s="9" t="n"/>
      <c r="C19" s="9" t="n"/>
      <c r="D19" s="9" t="n"/>
      <c r="E19" s="18" t="inlineStr">
        <is>
          <t>A-VIP</t>
        </is>
      </c>
      <c r="F19" s="9" t="n"/>
      <c r="G19" s="9" t="n"/>
      <c r="H19" s="9" t="n"/>
      <c r="I19" s="9" t="n"/>
      <c r="J19" s="9" t="n"/>
      <c r="K19" s="9" t="n"/>
    </row>
    <row r="20">
      <c r="A20" s="5" t="n">
        <v>18</v>
      </c>
      <c r="B20" s="5" t="n"/>
      <c r="C20" s="5" t="n"/>
      <c r="D20" s="5" t="n"/>
      <c r="E20" s="19" t="inlineStr">
        <is>
          <t>B-活跃</t>
        </is>
      </c>
      <c r="F20" s="5" t="n"/>
      <c r="G20" s="5" t="n"/>
      <c r="H20" s="5" t="n"/>
      <c r="I20" s="5" t="n"/>
      <c r="J20" s="5" t="n"/>
      <c r="K20" s="5" t="n"/>
    </row>
    <row r="21">
      <c r="A21" s="9" t="n">
        <v>19</v>
      </c>
      <c r="B21" s="9" t="n"/>
      <c r="C21" s="9" t="n"/>
      <c r="D21" s="9" t="n"/>
      <c r="E21" s="20" t="inlineStr">
        <is>
          <t>C-沉默</t>
        </is>
      </c>
      <c r="F21" s="9" t="n"/>
      <c r="G21" s="9" t="n"/>
      <c r="H21" s="9" t="n"/>
      <c r="I21" s="9" t="n"/>
      <c r="J21" s="9" t="n"/>
      <c r="K21" s="9" t="n"/>
    </row>
    <row r="22">
      <c r="A22" s="5" t="n">
        <v>20</v>
      </c>
      <c r="B22" s="5" t="n"/>
      <c r="C22" s="5" t="n"/>
      <c r="D22" s="5" t="n"/>
      <c r="E22" s="21" t="inlineStr">
        <is>
          <t>D-流失</t>
        </is>
      </c>
      <c r="F22" s="5" t="n"/>
      <c r="G22" s="5" t="n"/>
      <c r="H22" s="5" t="n"/>
      <c r="I22" s="5" t="n"/>
      <c r="J22" s="5" t="n"/>
      <c r="K22" s="5" t="n"/>
    </row>
    <row r="23">
      <c r="A23" s="9" t="n">
        <v>21</v>
      </c>
      <c r="B23" s="9" t="n"/>
      <c r="C23" s="9" t="n"/>
      <c r="D23" s="9" t="n"/>
      <c r="E23" s="18" t="inlineStr">
        <is>
          <t>A-VIP</t>
        </is>
      </c>
      <c r="F23" s="9" t="n"/>
      <c r="G23" s="9" t="n"/>
      <c r="H23" s="9" t="n"/>
      <c r="I23" s="9" t="n"/>
      <c r="J23" s="9" t="n"/>
      <c r="K23" s="9" t="n"/>
    </row>
    <row r="24">
      <c r="A24" s="5" t="n">
        <v>22</v>
      </c>
      <c r="B24" s="5" t="n"/>
      <c r="C24" s="5" t="n"/>
      <c r="D24" s="5" t="n"/>
      <c r="E24" s="19" t="inlineStr">
        <is>
          <t>B-活跃</t>
        </is>
      </c>
      <c r="F24" s="5" t="n"/>
      <c r="G24" s="5" t="n"/>
      <c r="H24" s="5" t="n"/>
      <c r="I24" s="5" t="n"/>
      <c r="J24" s="5" t="n"/>
      <c r="K24" s="5" t="n"/>
    </row>
    <row r="25">
      <c r="A25" s="9" t="n">
        <v>23</v>
      </c>
      <c r="B25" s="9" t="n"/>
      <c r="C25" s="9" t="n"/>
      <c r="D25" s="9" t="n"/>
      <c r="E25" s="20" t="inlineStr">
        <is>
          <t>C-沉默</t>
        </is>
      </c>
      <c r="F25" s="9" t="n"/>
      <c r="G25" s="9" t="n"/>
      <c r="H25" s="9" t="n"/>
      <c r="I25" s="9" t="n"/>
      <c r="J25" s="9" t="n"/>
      <c r="K25" s="9" t="n"/>
    </row>
    <row r="26">
      <c r="A26" s="5" t="n">
        <v>24</v>
      </c>
      <c r="B26" s="5" t="n"/>
      <c r="C26" s="5" t="n"/>
      <c r="D26" s="5" t="n"/>
      <c r="E26" s="21" t="inlineStr">
        <is>
          <t>D-流失</t>
        </is>
      </c>
      <c r="F26" s="5" t="n"/>
      <c r="G26" s="5" t="n"/>
      <c r="H26" s="5" t="n"/>
      <c r="I26" s="5" t="n"/>
      <c r="J26" s="5" t="n"/>
      <c r="K26" s="5" t="n"/>
    </row>
    <row r="27">
      <c r="A27" s="9" t="n">
        <v>25</v>
      </c>
      <c r="B27" s="9" t="n"/>
      <c r="C27" s="9" t="n"/>
      <c r="D27" s="9" t="n"/>
      <c r="E27" s="18" t="inlineStr">
        <is>
          <t>A-VIP</t>
        </is>
      </c>
      <c r="F27" s="9" t="n"/>
      <c r="G27" s="9" t="n"/>
      <c r="H27" s="9" t="n"/>
      <c r="I27" s="9" t="n"/>
      <c r="J27" s="9" t="n"/>
      <c r="K27" s="9" t="n"/>
    </row>
    <row r="28">
      <c r="A28" s="5" t="n">
        <v>26</v>
      </c>
      <c r="B28" s="5" t="n"/>
      <c r="C28" s="5" t="n"/>
      <c r="D28" s="5" t="n"/>
      <c r="E28" s="19" t="inlineStr">
        <is>
          <t>B-活跃</t>
        </is>
      </c>
      <c r="F28" s="5" t="n"/>
      <c r="G28" s="5" t="n"/>
      <c r="H28" s="5" t="n"/>
      <c r="I28" s="5" t="n"/>
      <c r="J28" s="5" t="n"/>
      <c r="K28" s="5" t="n"/>
    </row>
    <row r="29">
      <c r="A29" s="9" t="n">
        <v>27</v>
      </c>
      <c r="B29" s="9" t="n"/>
      <c r="C29" s="9" t="n"/>
      <c r="D29" s="9" t="n"/>
      <c r="E29" s="20" t="inlineStr">
        <is>
          <t>C-沉默</t>
        </is>
      </c>
      <c r="F29" s="9" t="n"/>
      <c r="G29" s="9" t="n"/>
      <c r="H29" s="9" t="n"/>
      <c r="I29" s="9" t="n"/>
      <c r="J29" s="9" t="n"/>
      <c r="K29" s="9" t="n"/>
    </row>
    <row r="30">
      <c r="A30" s="5" t="n">
        <v>28</v>
      </c>
      <c r="B30" s="5" t="n"/>
      <c r="C30" s="5" t="n"/>
      <c r="D30" s="5" t="n"/>
      <c r="E30" s="21" t="inlineStr">
        <is>
          <t>D-流失</t>
        </is>
      </c>
      <c r="F30" s="5" t="n"/>
      <c r="G30" s="5" t="n"/>
      <c r="H30" s="5" t="n"/>
      <c r="I30" s="5" t="n"/>
      <c r="J30" s="5" t="n"/>
      <c r="K30" s="5" t="n"/>
    </row>
    <row r="31">
      <c r="A31" s="9" t="n">
        <v>29</v>
      </c>
      <c r="B31" s="9" t="n"/>
      <c r="C31" s="9" t="n"/>
      <c r="D31" s="9" t="n"/>
      <c r="E31" s="18" t="inlineStr">
        <is>
          <t>A-VIP</t>
        </is>
      </c>
      <c r="F31" s="9" t="n"/>
      <c r="G31" s="9" t="n"/>
      <c r="H31" s="9" t="n"/>
      <c r="I31" s="9" t="n"/>
      <c r="J31" s="9" t="n"/>
      <c r="K31" s="9" t="n"/>
    </row>
    <row r="32">
      <c r="A32" s="5" t="n">
        <v>30</v>
      </c>
      <c r="B32" s="5" t="n"/>
      <c r="C32" s="5" t="n"/>
      <c r="D32" s="5" t="n"/>
      <c r="E32" s="19" t="inlineStr">
        <is>
          <t>B-活跃</t>
        </is>
      </c>
      <c r="F32" s="5" t="n"/>
      <c r="G32" s="5" t="n"/>
      <c r="H32" s="5" t="n"/>
      <c r="I32" s="5" t="n"/>
      <c r="J32" s="5" t="n"/>
      <c r="K32" s="5" t="n"/>
    </row>
    <row r="33">
      <c r="A33" s="9" t="n">
        <v>31</v>
      </c>
      <c r="B33" s="9" t="n"/>
      <c r="C33" s="9" t="n"/>
      <c r="D33" s="9" t="n"/>
      <c r="E33" s="20" t="inlineStr">
        <is>
          <t>C-沉默</t>
        </is>
      </c>
      <c r="F33" s="9" t="n"/>
      <c r="G33" s="9" t="n"/>
      <c r="H33" s="9" t="n"/>
      <c r="I33" s="9" t="n"/>
      <c r="J33" s="9" t="n"/>
      <c r="K33" s="9" t="n"/>
    </row>
    <row r="34">
      <c r="A34" s="5" t="n">
        <v>32</v>
      </c>
      <c r="B34" s="5" t="n"/>
      <c r="C34" s="5" t="n"/>
      <c r="D34" s="5" t="n"/>
      <c r="E34" s="21" t="inlineStr">
        <is>
          <t>D-流失</t>
        </is>
      </c>
      <c r="F34" s="5" t="n"/>
      <c r="G34" s="5" t="n"/>
      <c r="H34" s="5" t="n"/>
      <c r="I34" s="5" t="n"/>
      <c r="J34" s="5" t="n"/>
      <c r="K34" s="5" t="n"/>
    </row>
    <row r="35">
      <c r="A35" s="9" t="n">
        <v>33</v>
      </c>
      <c r="B35" s="9" t="n"/>
      <c r="C35" s="9" t="n"/>
      <c r="D35" s="9" t="n"/>
      <c r="E35" s="18" t="inlineStr">
        <is>
          <t>A-VIP</t>
        </is>
      </c>
      <c r="F35" s="9" t="n"/>
      <c r="G35" s="9" t="n"/>
      <c r="H35" s="9" t="n"/>
      <c r="I35" s="9" t="n"/>
      <c r="J35" s="9" t="n"/>
      <c r="K35" s="9" t="n"/>
    </row>
    <row r="36">
      <c r="A36" s="5" t="n">
        <v>34</v>
      </c>
      <c r="B36" s="5" t="n"/>
      <c r="C36" s="5" t="n"/>
      <c r="D36" s="5" t="n"/>
      <c r="E36" s="19" t="inlineStr">
        <is>
          <t>B-活跃</t>
        </is>
      </c>
      <c r="F36" s="5" t="n"/>
      <c r="G36" s="5" t="n"/>
      <c r="H36" s="5" t="n"/>
      <c r="I36" s="5" t="n"/>
      <c r="J36" s="5" t="n"/>
      <c r="K36" s="5" t="n"/>
    </row>
    <row r="37">
      <c r="A37" s="9" t="n">
        <v>35</v>
      </c>
      <c r="B37" s="9" t="n"/>
      <c r="C37" s="9" t="n"/>
      <c r="D37" s="9" t="n"/>
      <c r="E37" s="20" t="inlineStr">
        <is>
          <t>C-沉默</t>
        </is>
      </c>
      <c r="F37" s="9" t="n"/>
      <c r="G37" s="9" t="n"/>
      <c r="H37" s="9" t="n"/>
      <c r="I37" s="9" t="n"/>
      <c r="J37" s="9" t="n"/>
      <c r="K37" s="9" t="n"/>
    </row>
    <row r="38">
      <c r="A38" s="5" t="n">
        <v>36</v>
      </c>
      <c r="B38" s="5" t="n"/>
      <c r="C38" s="5" t="n"/>
      <c r="D38" s="5" t="n"/>
      <c r="E38" s="21" t="inlineStr">
        <is>
          <t>D-流失</t>
        </is>
      </c>
      <c r="F38" s="5" t="n"/>
      <c r="G38" s="5" t="n"/>
      <c r="H38" s="5" t="n"/>
      <c r="I38" s="5" t="n"/>
      <c r="J38" s="5" t="n"/>
      <c r="K38" s="5" t="n"/>
    </row>
    <row r="39">
      <c r="A39" s="9" t="n">
        <v>37</v>
      </c>
      <c r="B39" s="9" t="n"/>
      <c r="C39" s="9" t="n"/>
      <c r="D39" s="9" t="n"/>
      <c r="E39" s="18" t="inlineStr">
        <is>
          <t>A-VIP</t>
        </is>
      </c>
      <c r="F39" s="9" t="n"/>
      <c r="G39" s="9" t="n"/>
      <c r="H39" s="9" t="n"/>
      <c r="I39" s="9" t="n"/>
      <c r="J39" s="9" t="n"/>
      <c r="K39" s="9" t="n"/>
    </row>
    <row r="40">
      <c r="A40" s="5" t="n">
        <v>38</v>
      </c>
      <c r="B40" s="5" t="n"/>
      <c r="C40" s="5" t="n"/>
      <c r="D40" s="5" t="n"/>
      <c r="E40" s="19" t="inlineStr">
        <is>
          <t>B-活跃</t>
        </is>
      </c>
      <c r="F40" s="5" t="n"/>
      <c r="G40" s="5" t="n"/>
      <c r="H40" s="5" t="n"/>
      <c r="I40" s="5" t="n"/>
      <c r="J40" s="5" t="n"/>
      <c r="K40" s="5" t="n"/>
    </row>
    <row r="41">
      <c r="A41" s="9" t="n">
        <v>39</v>
      </c>
      <c r="B41" s="9" t="n"/>
      <c r="C41" s="9" t="n"/>
      <c r="D41" s="9" t="n"/>
      <c r="E41" s="20" t="inlineStr">
        <is>
          <t>C-沉默</t>
        </is>
      </c>
      <c r="F41" s="9" t="n"/>
      <c r="G41" s="9" t="n"/>
      <c r="H41" s="9" t="n"/>
      <c r="I41" s="9" t="n"/>
      <c r="J41" s="9" t="n"/>
      <c r="K41" s="9" t="n"/>
    </row>
    <row r="42">
      <c r="A42" s="5" t="n">
        <v>40</v>
      </c>
      <c r="B42" s="5" t="n"/>
      <c r="C42" s="5" t="n"/>
      <c r="D42" s="5" t="n"/>
      <c r="E42" s="21" t="inlineStr">
        <is>
          <t>D-流失</t>
        </is>
      </c>
      <c r="F42" s="5" t="n"/>
      <c r="G42" s="5" t="n"/>
      <c r="H42" s="5" t="n"/>
      <c r="I42" s="5" t="n"/>
      <c r="J42" s="5" t="n"/>
      <c r="K42" s="5" t="n"/>
    </row>
    <row r="43">
      <c r="A43" s="9" t="n">
        <v>41</v>
      </c>
      <c r="B43" s="9" t="n"/>
      <c r="C43" s="9" t="n"/>
      <c r="D43" s="9" t="n"/>
      <c r="E43" s="18" t="inlineStr">
        <is>
          <t>A-VIP</t>
        </is>
      </c>
      <c r="F43" s="9" t="n"/>
      <c r="G43" s="9" t="n"/>
      <c r="H43" s="9" t="n"/>
      <c r="I43" s="9" t="n"/>
      <c r="J43" s="9" t="n"/>
      <c r="K43" s="9" t="n"/>
    </row>
    <row r="44">
      <c r="A44" s="5" t="n">
        <v>42</v>
      </c>
      <c r="B44" s="5" t="n"/>
      <c r="C44" s="5" t="n"/>
      <c r="D44" s="5" t="n"/>
      <c r="E44" s="19" t="inlineStr">
        <is>
          <t>B-活跃</t>
        </is>
      </c>
      <c r="F44" s="5" t="n"/>
      <c r="G44" s="5" t="n"/>
      <c r="H44" s="5" t="n"/>
      <c r="I44" s="5" t="n"/>
      <c r="J44" s="5" t="n"/>
      <c r="K44" s="5" t="n"/>
    </row>
    <row r="45">
      <c r="A45" s="9" t="n">
        <v>43</v>
      </c>
      <c r="B45" s="9" t="n"/>
      <c r="C45" s="9" t="n"/>
      <c r="D45" s="9" t="n"/>
      <c r="E45" s="20" t="inlineStr">
        <is>
          <t>C-沉默</t>
        </is>
      </c>
      <c r="F45" s="9" t="n"/>
      <c r="G45" s="9" t="n"/>
      <c r="H45" s="9" t="n"/>
      <c r="I45" s="9" t="n"/>
      <c r="J45" s="9" t="n"/>
      <c r="K45" s="9" t="n"/>
    </row>
    <row r="46">
      <c r="A46" s="5" t="n">
        <v>44</v>
      </c>
      <c r="B46" s="5" t="n"/>
      <c r="C46" s="5" t="n"/>
      <c r="D46" s="5" t="n"/>
      <c r="E46" s="21" t="inlineStr">
        <is>
          <t>D-流失</t>
        </is>
      </c>
      <c r="F46" s="5" t="n"/>
      <c r="G46" s="5" t="n"/>
      <c r="H46" s="5" t="n"/>
      <c r="I46" s="5" t="n"/>
      <c r="J46" s="5" t="n"/>
      <c r="K46" s="5" t="n"/>
    </row>
    <row r="47">
      <c r="A47" s="9" t="n">
        <v>45</v>
      </c>
      <c r="B47" s="9" t="n"/>
      <c r="C47" s="9" t="n"/>
      <c r="D47" s="9" t="n"/>
      <c r="E47" s="18" t="inlineStr">
        <is>
          <t>A-VIP</t>
        </is>
      </c>
      <c r="F47" s="9" t="n"/>
      <c r="G47" s="9" t="n"/>
      <c r="H47" s="9" t="n"/>
      <c r="I47" s="9" t="n"/>
      <c r="J47" s="9" t="n"/>
      <c r="K47" s="9" t="n"/>
    </row>
    <row r="48">
      <c r="A48" s="5" t="n">
        <v>46</v>
      </c>
      <c r="B48" s="5" t="n"/>
      <c r="C48" s="5" t="n"/>
      <c r="D48" s="5" t="n"/>
      <c r="E48" s="19" t="inlineStr">
        <is>
          <t>B-活跃</t>
        </is>
      </c>
      <c r="F48" s="5" t="n"/>
      <c r="G48" s="5" t="n"/>
      <c r="H48" s="5" t="n"/>
      <c r="I48" s="5" t="n"/>
      <c r="J48" s="5" t="n"/>
      <c r="K48" s="5" t="n"/>
    </row>
    <row r="49">
      <c r="A49" s="9" t="n">
        <v>47</v>
      </c>
      <c r="B49" s="9" t="n"/>
      <c r="C49" s="9" t="n"/>
      <c r="D49" s="9" t="n"/>
      <c r="E49" s="20" t="inlineStr">
        <is>
          <t>C-沉默</t>
        </is>
      </c>
      <c r="F49" s="9" t="n"/>
      <c r="G49" s="9" t="n"/>
      <c r="H49" s="9" t="n"/>
      <c r="I49" s="9" t="n"/>
      <c r="J49" s="9" t="n"/>
      <c r="K49" s="9" t="n"/>
    </row>
    <row r="50">
      <c r="A50" s="5" t="n">
        <v>48</v>
      </c>
      <c r="B50" s="5" t="n"/>
      <c r="C50" s="5" t="n"/>
      <c r="D50" s="5" t="n"/>
      <c r="E50" s="21" t="inlineStr">
        <is>
          <t>D-流失</t>
        </is>
      </c>
      <c r="F50" s="5" t="n"/>
      <c r="G50" s="5" t="n"/>
      <c r="H50" s="5" t="n"/>
      <c r="I50" s="5" t="n"/>
      <c r="J50" s="5" t="n"/>
      <c r="K50" s="5" t="n"/>
    </row>
    <row r="51">
      <c r="A51" s="9" t="n">
        <v>49</v>
      </c>
      <c r="B51" s="9" t="n"/>
      <c r="C51" s="9" t="n"/>
      <c r="D51" s="9" t="n"/>
      <c r="E51" s="18" t="inlineStr">
        <is>
          <t>A-VIP</t>
        </is>
      </c>
      <c r="F51" s="9" t="n"/>
      <c r="G51" s="9" t="n"/>
      <c r="H51" s="9" t="n"/>
      <c r="I51" s="9" t="n"/>
      <c r="J51" s="9" t="n"/>
      <c r="K51" s="9" t="n"/>
    </row>
    <row r="52">
      <c r="A52" s="5" t="n">
        <v>50</v>
      </c>
      <c r="B52" s="5" t="n"/>
      <c r="C52" s="5" t="n"/>
      <c r="D52" s="5" t="n"/>
      <c r="E52" s="19" t="inlineStr">
        <is>
          <t>B-活跃</t>
        </is>
      </c>
      <c r="F52" s="5" t="n"/>
      <c r="G52" s="5" t="n"/>
      <c r="H52" s="5" t="n"/>
      <c r="I52" s="5" t="n"/>
      <c r="J52" s="5" t="n"/>
      <c r="K52" s="5" t="n"/>
    </row>
    <row r="53">
      <c r="A53" s="12" t="inlineStr">
        <is>
          <t>统计</t>
        </is>
      </c>
      <c r="B53" s="13" t="n"/>
      <c r="C53" s="13" t="n"/>
      <c r="D53" s="13" t="n"/>
      <c r="E53" s="12" t="inlineStr">
        <is>
          <t>等级分布</t>
        </is>
      </c>
      <c r="F53" s="12">
        <f>COUNTIF(E3:E52,"A-VIP")&amp;"个VIP"</f>
        <v/>
      </c>
      <c r="G53" s="12">
        <f>COUNTIF(E3:E52,"B-活跃")&amp;"个活跃"</f>
        <v/>
      </c>
      <c r="H53" s="12">
        <f>COUNTIF(E3:E52,"C-沉默")&amp;"个沉默"</f>
        <v/>
      </c>
      <c r="I53" s="12">
        <f>COUNTIF(E3:E52,"D-流失")&amp;"个流失"</f>
        <v/>
      </c>
      <c r="J53" s="13" t="n"/>
      <c r="K53" s="13" t="n"/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2" customWidth="1" min="4" max="4"/>
    <col width="10" customWidth="1" min="5" max="5"/>
    <col width="10" customWidth="1" min="6" max="6"/>
    <col width="16" customWidth="1" min="7" max="7"/>
    <col width="12" customWidth="1" min="8" max="8"/>
    <col width="24" customWidth="1" min="9" max="9"/>
  </cols>
  <sheetData>
    <row r="1" ht="36" customHeight="1">
      <c r="A1" s="1" t="inlineStr">
        <is>
          <t>同行研究记录表（每周五30分钟）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日期</t>
        </is>
      </c>
      <c r="B2" s="3" t="inlineStr">
        <is>
          <t>平台</t>
        </is>
      </c>
      <c r="C2" s="3" t="inlineStr">
        <is>
          <t>同行账号</t>
        </is>
      </c>
      <c r="D2" s="3" t="inlineStr">
        <is>
          <t>爆款标题/视频</t>
        </is>
      </c>
      <c r="E2" s="3" t="inlineStr">
        <is>
          <t>点赞数</t>
        </is>
      </c>
      <c r="F2" s="3" t="inlineStr">
        <is>
          <t>收藏数</t>
        </is>
      </c>
      <c r="G2" s="3" t="inlineStr">
        <is>
          <t>图片/画面风格</t>
        </is>
      </c>
      <c r="H2" s="3" t="inlineStr">
        <is>
          <t>评论区热点</t>
        </is>
      </c>
      <c r="I2" s="3" t="inlineStr">
        <is>
          <t>我的模仿计划</t>
        </is>
      </c>
    </row>
    <row r="3">
      <c r="A3" s="9" t="n"/>
      <c r="B3" s="9" t="inlineStr">
        <is>
          <t>小红书</t>
        </is>
      </c>
      <c r="C3" s="9" t="n"/>
      <c r="D3" s="9" t="n"/>
      <c r="E3" s="9" t="n"/>
      <c r="F3" s="9" t="n"/>
      <c r="G3" s="9" t="n"/>
      <c r="H3" s="9" t="n"/>
      <c r="I3" s="9" t="n"/>
    </row>
    <row r="4">
      <c r="A4" s="5" t="n"/>
      <c r="B4" s="5" t="inlineStr">
        <is>
          <t>抖音</t>
        </is>
      </c>
      <c r="C4" s="5" t="n"/>
      <c r="D4" s="5" t="n"/>
      <c r="E4" s="5" t="n"/>
      <c r="F4" s="5" t="n"/>
      <c r="G4" s="5" t="n"/>
      <c r="H4" s="5" t="n"/>
      <c r="I4" s="5" t="n"/>
    </row>
    <row r="5">
      <c r="A5" s="9" t="n"/>
      <c r="B5" s="9" t="inlineStr">
        <is>
          <t>1688</t>
        </is>
      </c>
      <c r="C5" s="9" t="n"/>
      <c r="D5" s="9" t="n"/>
      <c r="E5" s="9" t="n"/>
      <c r="F5" s="9" t="n"/>
      <c r="G5" s="9" t="n"/>
      <c r="H5" s="9" t="n"/>
      <c r="I5" s="9" t="n"/>
    </row>
    <row r="6">
      <c r="A6" s="5" t="n"/>
      <c r="B6" s="5" t="inlineStr">
        <is>
          <t>淘宝</t>
        </is>
      </c>
      <c r="C6" s="5" t="n"/>
      <c r="D6" s="5" t="n"/>
      <c r="E6" s="5" t="n"/>
      <c r="F6" s="5" t="n"/>
      <c r="G6" s="5" t="n"/>
      <c r="H6" s="5" t="n"/>
      <c r="I6" s="5" t="n"/>
    </row>
    <row r="7">
      <c r="A7" s="9" t="n"/>
      <c r="B7" s="9" t="inlineStr">
        <is>
          <t>小红书</t>
        </is>
      </c>
      <c r="C7" s="9" t="n"/>
      <c r="D7" s="9" t="n"/>
      <c r="E7" s="9" t="n"/>
      <c r="F7" s="9" t="n"/>
      <c r="G7" s="9" t="n"/>
      <c r="H7" s="9" t="n"/>
      <c r="I7" s="9" t="n"/>
    </row>
    <row r="8">
      <c r="A8" s="5" t="n"/>
      <c r="B8" s="5" t="inlineStr">
        <is>
          <t>抖音</t>
        </is>
      </c>
      <c r="C8" s="5" t="n"/>
      <c r="D8" s="5" t="n"/>
      <c r="E8" s="5" t="n"/>
      <c r="F8" s="5" t="n"/>
      <c r="G8" s="5" t="n"/>
      <c r="H8" s="5" t="n"/>
      <c r="I8" s="5" t="n"/>
    </row>
    <row r="9">
      <c r="A9" s="9" t="n"/>
      <c r="B9" s="9" t="inlineStr">
        <is>
          <t>1688</t>
        </is>
      </c>
      <c r="C9" s="9" t="n"/>
      <c r="D9" s="9" t="n"/>
      <c r="E9" s="9" t="n"/>
      <c r="F9" s="9" t="n"/>
      <c r="G9" s="9" t="n"/>
      <c r="H9" s="9" t="n"/>
      <c r="I9" s="9" t="n"/>
    </row>
    <row r="10">
      <c r="A10" s="5" t="n"/>
      <c r="B10" s="5" t="inlineStr">
        <is>
          <t>淘宝</t>
        </is>
      </c>
      <c r="C10" s="5" t="n"/>
      <c r="D10" s="5" t="n"/>
      <c r="E10" s="5" t="n"/>
      <c r="F10" s="5" t="n"/>
      <c r="G10" s="5" t="n"/>
      <c r="H10" s="5" t="n"/>
      <c r="I10" s="5" t="n"/>
    </row>
    <row r="11">
      <c r="A11" s="9" t="n"/>
      <c r="B11" s="9" t="inlineStr">
        <is>
          <t>小红书</t>
        </is>
      </c>
      <c r="C11" s="9" t="n"/>
      <c r="D11" s="9" t="n"/>
      <c r="E11" s="9" t="n"/>
      <c r="F11" s="9" t="n"/>
      <c r="G11" s="9" t="n"/>
      <c r="H11" s="9" t="n"/>
      <c r="I11" s="9" t="n"/>
    </row>
    <row r="12">
      <c r="A12" s="5" t="n"/>
      <c r="B12" s="5" t="inlineStr">
        <is>
          <t>抖音</t>
        </is>
      </c>
      <c r="C12" s="5" t="n"/>
      <c r="D12" s="5" t="n"/>
      <c r="E12" s="5" t="n"/>
      <c r="F12" s="5" t="n"/>
      <c r="G12" s="5" t="n"/>
      <c r="H12" s="5" t="n"/>
      <c r="I12" s="5" t="n"/>
    </row>
    <row r="13">
      <c r="A13" s="9" t="n"/>
      <c r="B13" s="9" t="inlineStr">
        <is>
          <t>1688</t>
        </is>
      </c>
      <c r="C13" s="9" t="n"/>
      <c r="D13" s="9" t="n"/>
      <c r="E13" s="9" t="n"/>
      <c r="F13" s="9" t="n"/>
      <c r="G13" s="9" t="n"/>
      <c r="H13" s="9" t="n"/>
      <c r="I13" s="9" t="n"/>
    </row>
    <row r="14">
      <c r="A14" s="5" t="n"/>
      <c r="B14" s="5" t="inlineStr">
        <is>
          <t>淘宝</t>
        </is>
      </c>
      <c r="C14" s="5" t="n"/>
      <c r="D14" s="5" t="n"/>
      <c r="E14" s="5" t="n"/>
      <c r="F14" s="5" t="n"/>
      <c r="G14" s="5" t="n"/>
      <c r="H14" s="5" t="n"/>
      <c r="I14" s="5" t="n"/>
    </row>
    <row r="15">
      <c r="A15" s="9" t="n"/>
      <c r="B15" s="9" t="inlineStr">
        <is>
          <t>小红书</t>
        </is>
      </c>
      <c r="C15" s="9" t="n"/>
      <c r="D15" s="9" t="n"/>
      <c r="E15" s="9" t="n"/>
      <c r="F15" s="9" t="n"/>
      <c r="G15" s="9" t="n"/>
      <c r="H15" s="9" t="n"/>
      <c r="I15" s="9" t="n"/>
    </row>
    <row r="16">
      <c r="A16" s="5" t="n"/>
      <c r="B16" s="5" t="inlineStr">
        <is>
          <t>抖音</t>
        </is>
      </c>
      <c r="C16" s="5" t="n"/>
      <c r="D16" s="5" t="n"/>
      <c r="E16" s="5" t="n"/>
      <c r="F16" s="5" t="n"/>
      <c r="G16" s="5" t="n"/>
      <c r="H16" s="5" t="n"/>
      <c r="I16" s="5" t="n"/>
    </row>
    <row r="17">
      <c r="A17" s="9" t="n"/>
      <c r="B17" s="9" t="inlineStr">
        <is>
          <t>1688</t>
        </is>
      </c>
      <c r="C17" s="9" t="n"/>
      <c r="D17" s="9" t="n"/>
      <c r="E17" s="9" t="n"/>
      <c r="F17" s="9" t="n"/>
      <c r="G17" s="9" t="n"/>
      <c r="H17" s="9" t="n"/>
      <c r="I17" s="9" t="n"/>
    </row>
    <row r="18">
      <c r="A18" s="5" t="n"/>
      <c r="B18" s="5" t="inlineStr">
        <is>
          <t>淘宝</t>
        </is>
      </c>
      <c r="C18" s="5" t="n"/>
      <c r="D18" s="5" t="n"/>
      <c r="E18" s="5" t="n"/>
      <c r="F18" s="5" t="n"/>
      <c r="G18" s="5" t="n"/>
      <c r="H18" s="5" t="n"/>
      <c r="I18" s="5" t="n"/>
    </row>
    <row r="19">
      <c r="A19" s="9" t="n"/>
      <c r="B19" s="9" t="inlineStr">
        <is>
          <t>小红书</t>
        </is>
      </c>
      <c r="C19" s="9" t="n"/>
      <c r="D19" s="9" t="n"/>
      <c r="E19" s="9" t="n"/>
      <c r="F19" s="9" t="n"/>
      <c r="G19" s="9" t="n"/>
      <c r="H19" s="9" t="n"/>
      <c r="I19" s="9" t="n"/>
    </row>
    <row r="20">
      <c r="A20" s="5" t="n"/>
      <c r="B20" s="5" t="inlineStr">
        <is>
          <t>抖音</t>
        </is>
      </c>
      <c r="C20" s="5" t="n"/>
      <c r="D20" s="5" t="n"/>
      <c r="E20" s="5" t="n"/>
      <c r="F20" s="5" t="n"/>
      <c r="G20" s="5" t="n"/>
      <c r="H20" s="5" t="n"/>
      <c r="I20" s="5" t="n"/>
    </row>
    <row r="21">
      <c r="A21" s="9" t="n"/>
      <c r="B21" s="9" t="inlineStr">
        <is>
          <t>1688</t>
        </is>
      </c>
      <c r="C21" s="9" t="n"/>
      <c r="D21" s="9" t="n"/>
      <c r="E21" s="9" t="n"/>
      <c r="F21" s="9" t="n"/>
      <c r="G21" s="9" t="n"/>
      <c r="H21" s="9" t="n"/>
      <c r="I21" s="9" t="n"/>
    </row>
    <row r="22">
      <c r="A22" s="5" t="n"/>
      <c r="B22" s="5" t="inlineStr">
        <is>
          <t>淘宝</t>
        </is>
      </c>
      <c r="C22" s="5" t="n"/>
      <c r="D22" s="5" t="n"/>
      <c r="E22" s="5" t="n"/>
      <c r="F22" s="5" t="n"/>
      <c r="G22" s="5" t="n"/>
      <c r="H22" s="5" t="n"/>
      <c r="I22" s="5" t="n"/>
    </row>
    <row r="23">
      <c r="A23" s="9" t="n"/>
      <c r="B23" s="9" t="inlineStr">
        <is>
          <t>小红书</t>
        </is>
      </c>
      <c r="C23" s="9" t="n"/>
      <c r="D23" s="9" t="n"/>
      <c r="E23" s="9" t="n"/>
      <c r="F23" s="9" t="n"/>
      <c r="G23" s="9" t="n"/>
      <c r="H23" s="9" t="n"/>
      <c r="I23" s="9" t="n"/>
    </row>
    <row r="24">
      <c r="A24" s="5" t="n"/>
      <c r="B24" s="5" t="inlineStr">
        <is>
          <t>抖音</t>
        </is>
      </c>
      <c r="C24" s="5" t="n"/>
      <c r="D24" s="5" t="n"/>
      <c r="E24" s="5" t="n"/>
      <c r="F24" s="5" t="n"/>
      <c r="G24" s="5" t="n"/>
      <c r="H24" s="5" t="n"/>
      <c r="I24" s="5" t="n"/>
    </row>
    <row r="25">
      <c r="A25" s="9" t="n"/>
      <c r="B25" s="9" t="inlineStr">
        <is>
          <t>1688</t>
        </is>
      </c>
      <c r="C25" s="9" t="n"/>
      <c r="D25" s="9" t="n"/>
      <c r="E25" s="9" t="n"/>
      <c r="F25" s="9" t="n"/>
      <c r="G25" s="9" t="n"/>
      <c r="H25" s="9" t="n"/>
      <c r="I25" s="9" t="n"/>
    </row>
    <row r="26">
      <c r="A26" s="5" t="n"/>
      <c r="B26" s="5" t="inlineStr">
        <is>
          <t>淘宝</t>
        </is>
      </c>
      <c r="C26" s="5" t="n"/>
      <c r="D26" s="5" t="n"/>
      <c r="E26" s="5" t="n"/>
      <c r="F26" s="5" t="n"/>
      <c r="G26" s="5" t="n"/>
      <c r="H26" s="5" t="n"/>
      <c r="I26" s="5" t="n"/>
    </row>
    <row r="27">
      <c r="A27" s="9" t="n"/>
      <c r="B27" s="9" t="inlineStr">
        <is>
          <t>小红书</t>
        </is>
      </c>
      <c r="C27" s="9" t="n"/>
      <c r="D27" s="9" t="n"/>
      <c r="E27" s="9" t="n"/>
      <c r="F27" s="9" t="n"/>
      <c r="G27" s="9" t="n"/>
      <c r="H27" s="9" t="n"/>
      <c r="I27" s="9" t="n"/>
    </row>
    <row r="28">
      <c r="A28" s="5" t="n"/>
      <c r="B28" s="5" t="inlineStr">
        <is>
          <t>抖音</t>
        </is>
      </c>
      <c r="C28" s="5" t="n"/>
      <c r="D28" s="5" t="n"/>
      <c r="E28" s="5" t="n"/>
      <c r="F28" s="5" t="n"/>
      <c r="G28" s="5" t="n"/>
      <c r="H28" s="5" t="n"/>
      <c r="I28" s="5" t="n"/>
    </row>
    <row r="29">
      <c r="A29" s="9" t="n"/>
      <c r="B29" s="9" t="inlineStr">
        <is>
          <t>1688</t>
        </is>
      </c>
      <c r="C29" s="9" t="n"/>
      <c r="D29" s="9" t="n"/>
      <c r="E29" s="9" t="n"/>
      <c r="F29" s="9" t="n"/>
      <c r="G29" s="9" t="n"/>
      <c r="H29" s="9" t="n"/>
      <c r="I29" s="9" t="n"/>
    </row>
    <row r="30">
      <c r="A30" s="5" t="n"/>
      <c r="B30" s="5" t="inlineStr">
        <is>
          <t>淘宝</t>
        </is>
      </c>
      <c r="C30" s="5" t="n"/>
      <c r="D30" s="5" t="n"/>
      <c r="E30" s="5" t="n"/>
      <c r="F30" s="5" t="n"/>
      <c r="G30" s="5" t="n"/>
      <c r="H30" s="5" t="n"/>
      <c r="I30" s="5" t="n"/>
    </row>
    <row r="31">
      <c r="A31" s="9" t="n"/>
      <c r="B31" s="9" t="inlineStr">
        <is>
          <t>小红书</t>
        </is>
      </c>
      <c r="C31" s="9" t="n"/>
      <c r="D31" s="9" t="n"/>
      <c r="E31" s="9" t="n"/>
      <c r="F31" s="9" t="n"/>
      <c r="G31" s="9" t="n"/>
      <c r="H31" s="9" t="n"/>
      <c r="I31" s="9" t="n"/>
    </row>
    <row r="32">
      <c r="A32" s="5" t="n"/>
      <c r="B32" s="5" t="inlineStr">
        <is>
          <t>抖音</t>
        </is>
      </c>
      <c r="C32" s="5" t="n"/>
      <c r="D32" s="5" t="n"/>
      <c r="E32" s="5" t="n"/>
      <c r="F32" s="5" t="n"/>
      <c r="G32" s="5" t="n"/>
      <c r="H32" s="5" t="n"/>
      <c r="I32" s="5" t="n"/>
    </row>
    <row r="33">
      <c r="A33" s="22" t="inlineStr">
        <is>
          <t>本周总结</t>
        </is>
      </c>
    </row>
    <row r="34">
      <c r="A34" s="23" t="inlineStr">
        <is>
          <t>哪些标题效果好：</t>
        </is>
      </c>
    </row>
    <row r="35">
      <c r="A35" s="23" t="inlineStr">
        <is>
          <t>哪些视频开头留人：</t>
        </is>
      </c>
    </row>
    <row r="36">
      <c r="A36" s="23" t="inlineStr">
        <is>
          <t>下周要尝试的新形式：</t>
        </is>
      </c>
    </row>
    <row r="37">
      <c r="A37" s="23" t="inlineStr">
        <is>
          <t>最近热门的话题标签：</t>
        </is>
      </c>
    </row>
  </sheetData>
  <mergeCells count="5">
    <mergeCell ref="A37:I37"/>
    <mergeCell ref="A36:I36"/>
    <mergeCell ref="A1:I1"/>
    <mergeCell ref="A34:I34"/>
    <mergeCell ref="A35:I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一周内容发布计划表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时段</t>
        </is>
      </c>
      <c r="B2" s="3" t="inlineStr">
        <is>
          <t>周一</t>
        </is>
      </c>
      <c r="C2" s="3" t="inlineStr">
        <is>
          <t>周二</t>
        </is>
      </c>
      <c r="D2" s="3" t="inlineStr">
        <is>
          <t>周三</t>
        </is>
      </c>
      <c r="E2" s="3" t="inlineStr">
        <is>
          <t>周四</t>
        </is>
      </c>
      <c r="F2" s="3" t="inlineStr">
        <is>
          <t>周五</t>
        </is>
      </c>
      <c r="G2" s="3" t="inlineStr">
        <is>
          <t>周六</t>
        </is>
      </c>
      <c r="H2" s="3" t="inlineStr">
        <is>
          <t>周日</t>
        </is>
      </c>
    </row>
    <row r="3" ht="40" customHeight="1">
      <c r="A3" s="24" t="inlineStr">
        <is>
          <t>10:00
产品展示</t>
        </is>
      </c>
      <c r="B3" s="24" t="inlineStr">
        <is>
          <t>V领毛衣展示</t>
        </is>
      </c>
      <c r="C3" s="24" t="inlineStr">
        <is>
          <t>开衫毛衣展示</t>
        </is>
      </c>
      <c r="D3" s="24" t="inlineStr">
        <is>
          <t>高领毛衣展示</t>
        </is>
      </c>
      <c r="E3" s="24" t="inlineStr">
        <is>
          <t>马甲展示</t>
        </is>
      </c>
      <c r="F3" s="24" t="inlineStr">
        <is>
          <t>套装展示</t>
        </is>
      </c>
      <c r="G3" s="24" t="inlineStr">
        <is>
          <t>新款预告</t>
        </is>
      </c>
      <c r="H3" s="24" t="inlineStr">
        <is>
          <t>热销回顾</t>
        </is>
      </c>
    </row>
    <row r="4" ht="40" customHeight="1">
      <c r="A4" s="11" t="inlineStr">
        <is>
          <t>14:00
价格对比</t>
        </is>
      </c>
      <c r="B4" s="11" t="inlineStr">
        <is>
          <t>79 vs 500</t>
        </is>
      </c>
      <c r="C4" s="11" t="inlineStr">
        <is>
          <t>面料对比测试</t>
        </is>
      </c>
      <c r="D4" s="11" t="inlineStr">
        <is>
          <t>做工对比</t>
        </is>
      </c>
      <c r="E4" s="11" t="inlineStr">
        <is>
          <t>买家秀对比</t>
        </is>
      </c>
      <c r="F4" s="11" t="inlineStr">
        <is>
          <t>不同价位对比</t>
        </is>
      </c>
      <c r="G4" s="11" t="inlineStr">
        <is>
          <t>商场同款对比</t>
        </is>
      </c>
      <c r="H4" s="11" t="inlineStr">
        <is>
          <t>周销量对比</t>
        </is>
      </c>
    </row>
    <row r="5" ht="40" customHeight="1">
      <c r="A5" s="24" t="inlineStr">
        <is>
          <t>19:00
工厂探秘</t>
        </is>
      </c>
      <c r="B5" s="24" t="inlineStr">
        <is>
          <t>工厂全景</t>
        </is>
      </c>
      <c r="C5" s="24" t="inlineStr">
        <is>
          <t>织机运转</t>
        </is>
      </c>
      <c r="D5" s="24" t="inlineStr">
        <is>
          <t>质检环节</t>
        </is>
      </c>
      <c r="E5" s="24" t="inlineStr">
        <is>
          <t>选料过程</t>
        </is>
      </c>
      <c r="F5" s="24" t="inlineStr">
        <is>
          <t>打包发货</t>
        </is>
      </c>
      <c r="G5" s="24" t="inlineStr">
        <is>
          <t>工人日常</t>
        </is>
      </c>
      <c r="H5" s="24" t="inlineStr">
        <is>
          <t>一周回顾</t>
        </is>
      </c>
    </row>
    <row r="6" ht="40" customHeight="1">
      <c r="A6" s="11" t="inlineStr">
        <is>
          <t>21:00
穿搭教程</t>
        </is>
      </c>
      <c r="B6" s="11" t="inlineStr">
        <is>
          <t>日常搭配</t>
        </is>
      </c>
      <c r="C6" s="11" t="inlineStr">
        <is>
          <t>通勤搭配</t>
        </is>
      </c>
      <c r="D6" s="11" t="inlineStr">
        <is>
          <t>约会搭配</t>
        </is>
      </c>
      <c r="E6" s="11" t="inlineStr">
        <is>
          <t>周末搭配</t>
        </is>
      </c>
      <c r="F6" s="11" t="inlineStr">
        <is>
          <t>度假搭配</t>
        </is>
      </c>
      <c r="G6" s="11" t="inlineStr">
        <is>
          <t>叠穿教程</t>
        </is>
      </c>
      <c r="H6" s="11" t="inlineStr">
        <is>
          <t>一衣多穿</t>
        </is>
      </c>
    </row>
    <row r="7" ht="40" customHeight="1">
      <c r="A7" s="24" t="inlineStr">
        <is>
          <t>22:00
打包发货</t>
        </is>
      </c>
      <c r="B7" s="24" t="inlineStr">
        <is>
          <t>今日发货</t>
        </is>
      </c>
      <c r="C7" s="24" t="inlineStr">
        <is>
          <t>好评截图</t>
        </is>
      </c>
      <c r="D7" s="24" t="inlineStr">
        <is>
          <t>客户回购</t>
        </is>
      </c>
      <c r="E7" s="24" t="inlineStr">
        <is>
          <t>打包过程</t>
        </is>
      </c>
      <c r="F7" s="24" t="inlineStr">
        <is>
          <t>快递装车</t>
        </is>
      </c>
      <c r="G7" s="24" t="inlineStr">
        <is>
          <t>周末不打烊</t>
        </is>
      </c>
      <c r="H7" s="24" t="inlineStr">
        <is>
          <t>下周预告</t>
        </is>
      </c>
    </row>
    <row r="9">
      <c r="A9" s="16" t="inlineStr">
        <is>
          <t>小红书笔记计划（每天3篇）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0" t="inlineStr">
        <is>
          <t>篇1</t>
        </is>
      </c>
      <c r="B10" s="20" t="inlineStr">
        <is>
          <t>种草闺蜜型</t>
        </is>
      </c>
      <c r="C10" s="20" t="inlineStr">
        <is>
          <t>价格冲击型</t>
        </is>
      </c>
      <c r="D10" s="20" t="inlineStr">
        <is>
          <t>穿搭教程型</t>
        </is>
      </c>
      <c r="E10" s="20" t="inlineStr">
        <is>
          <t>工厂故事型</t>
        </is>
      </c>
      <c r="F10" s="20" t="inlineStr">
        <is>
          <t>好评反馈型</t>
        </is>
      </c>
      <c r="G10" s="20" t="inlineStr">
        <is>
          <t>自由发挥</t>
        </is>
      </c>
      <c r="H10" s="20" t="inlineStr">
        <is>
          <t>自由发挥</t>
        </is>
      </c>
    </row>
    <row r="11">
      <c r="A11" s="10" t="inlineStr">
        <is>
          <t>篇2</t>
        </is>
      </c>
      <c r="B11" s="10" t="inlineStr">
        <is>
          <t>价格冲击型</t>
        </is>
      </c>
      <c r="C11" s="10" t="inlineStr">
        <is>
          <t>穿搭教程型</t>
        </is>
      </c>
      <c r="D11" s="10" t="inlineStr">
        <is>
          <t>好评反馈型</t>
        </is>
      </c>
      <c r="E11" s="10" t="inlineStr">
        <is>
          <t>种草闺蜜型</t>
        </is>
      </c>
      <c r="F11" s="10" t="inlineStr">
        <is>
          <t>节日营销型</t>
        </is>
      </c>
      <c r="G11" s="10" t="inlineStr">
        <is>
          <t>种草闺蜜型</t>
        </is>
      </c>
      <c r="H11" s="10" t="inlineStr">
        <is>
          <t>价格冲击型</t>
        </is>
      </c>
    </row>
    <row r="12">
      <c r="A12" s="20" t="inlineStr">
        <is>
          <t>篇3</t>
        </is>
      </c>
      <c r="B12" s="20" t="inlineStr">
        <is>
          <t>工厂故事型</t>
        </is>
      </c>
      <c r="C12" s="20" t="inlineStr">
        <is>
          <t>种草闺蜜型</t>
        </is>
      </c>
      <c r="D12" s="20" t="inlineStr">
        <is>
          <t>价格冲击型</t>
        </is>
      </c>
      <c r="E12" s="20" t="inlineStr">
        <is>
          <t>穿搭教程型</t>
        </is>
      </c>
      <c r="F12" s="20" t="inlineStr">
        <is>
          <t>种草闺蜜型</t>
        </is>
      </c>
      <c r="G12" s="20" t="inlineStr">
        <is>
          <t>穿搭教程型</t>
        </is>
      </c>
      <c r="H12" s="20" t="inlineStr">
        <is>
          <t>工厂故事型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22" customWidth="1" min="9" max="9"/>
  </cols>
  <sheetData>
    <row r="1" ht="36" customHeight="1">
      <c r="A1" s="1" t="inlineStr">
        <is>
          <t>AI数字人直播数据记录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日期</t>
        </is>
      </c>
      <c r="B2" s="3" t="inlineStr">
        <is>
          <t>直播时段</t>
        </is>
      </c>
      <c r="C2" s="3" t="inlineStr">
        <is>
          <t>在线峰值</t>
        </is>
      </c>
      <c r="D2" s="3" t="inlineStr">
        <is>
          <t>平均在线</t>
        </is>
      </c>
      <c r="E2" s="3" t="inlineStr">
        <is>
          <t>累计观看</t>
        </is>
      </c>
      <c r="F2" s="3" t="inlineStr">
        <is>
          <t>新增关注</t>
        </is>
      </c>
      <c r="G2" s="3" t="inlineStr">
        <is>
          <t>成交金额</t>
        </is>
      </c>
      <c r="H2" s="3" t="inlineStr">
        <is>
          <t>成交单数</t>
        </is>
      </c>
      <c r="I2" s="3" t="inlineStr">
        <is>
          <t>备注/改进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</row>
    <row r="33">
      <c r="A33" s="12" t="inlineStr">
        <is>
          <t>汇总</t>
        </is>
      </c>
      <c r="B33" s="13" t="n"/>
      <c r="C33" s="13" t="n"/>
      <c r="D33" s="13" t="n"/>
      <c r="E33" s="12">
        <f>SUM(E3:E32)</f>
        <v/>
      </c>
      <c r="F33" s="12">
        <f>SUM(F3:F32)</f>
        <v/>
      </c>
      <c r="G33" s="12">
        <f>SUM(G3:G32)</f>
        <v/>
      </c>
      <c r="H33" s="12">
        <f>SUM(H3:H32)</f>
        <v/>
      </c>
      <c r="I33" s="13" t="n"/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2026-07-01T17:18:25Z</dcterms:created>
  <dcterms:modified xmlns:dcterms="http://purl.org/dc/terms/" xmlns:xsi="http://www.w3.org/2001/XMLSchema-instance" xsi:type="dcterms:W3CDTF">2026-07-01T17:18:25Z</dcterms:modified>
</cp:coreProperties>
</file>